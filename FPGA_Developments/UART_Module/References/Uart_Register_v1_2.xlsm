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UART_Module\References\"/>
    </mc:Choice>
  </mc:AlternateContent>
  <xr:revisionPtr revIDLastSave="0" documentId="13_ncr:1_{F4ADFEB1-1AAB-47E1-AA09-4208FE9F69E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" i="1" l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S8" i="1"/>
  <c r="W8" i="1" s="1"/>
  <c r="R8" i="1"/>
  <c r="Q8" i="1"/>
  <c r="AA8" i="1" l="1"/>
  <c r="AE8" i="1"/>
  <c r="Z8" i="1"/>
  <c r="U8" i="1"/>
  <c r="V8" i="1" s="1"/>
  <c r="S9" i="1"/>
  <c r="X8" i="1"/>
  <c r="T8" i="1"/>
  <c r="Y8" i="1"/>
  <c r="R7" i="1"/>
  <c r="Q7" i="1"/>
  <c r="R6" i="1"/>
  <c r="Q6" i="1"/>
  <c r="Q5" i="1"/>
  <c r="R5" i="1"/>
  <c r="AC8" i="1" l="1"/>
  <c r="AG8" i="1"/>
  <c r="AD8" i="1"/>
  <c r="AH8" i="1"/>
  <c r="AF8" i="1"/>
  <c r="AB8" i="1"/>
  <c r="Z9" i="1"/>
  <c r="S10" i="1"/>
  <c r="U9" i="1"/>
  <c r="V9" i="1" s="1"/>
  <c r="Y9" i="1"/>
  <c r="T9" i="1"/>
  <c r="X9" i="1"/>
  <c r="W9" i="1"/>
  <c r="D23" i="5"/>
  <c r="X10" i="1" l="1"/>
  <c r="T10" i="1"/>
  <c r="Y10" i="1"/>
  <c r="W10" i="1"/>
  <c r="S11" i="1"/>
  <c r="U10" i="1"/>
  <c r="V10" i="1" s="1"/>
  <c r="Z10" i="1"/>
  <c r="AF9" i="1"/>
  <c r="AB9" i="1"/>
  <c r="AH9" i="1"/>
  <c r="AD9" i="1"/>
  <c r="AC9" i="1"/>
  <c r="AG9" i="1"/>
  <c r="AA9" i="1"/>
  <c r="AE9" i="1"/>
  <c r="Y4" i="1"/>
  <c r="Z4" i="1"/>
  <c r="X4" i="1"/>
  <c r="W4" i="1"/>
  <c r="U4" i="1"/>
  <c r="AC10" i="1" l="1"/>
  <c r="AG10" i="1"/>
  <c r="AA10" i="1"/>
  <c r="AE10" i="1"/>
  <c r="AD10" i="1"/>
  <c r="AH10" i="1"/>
  <c r="Z11" i="1"/>
  <c r="S12" i="1"/>
  <c r="U11" i="1"/>
  <c r="V11" i="1" s="1"/>
  <c r="Y11" i="1"/>
  <c r="T11" i="1"/>
  <c r="X11" i="1"/>
  <c r="W11" i="1"/>
  <c r="AF10" i="1"/>
  <c r="AB10" i="1"/>
  <c r="V4" i="1"/>
  <c r="Q4" i="1"/>
  <c r="T4" i="1"/>
  <c r="AA11" i="1" l="1"/>
  <c r="AE11" i="1"/>
  <c r="AF11" i="1"/>
  <c r="AB11" i="1"/>
  <c r="AH11" i="1"/>
  <c r="AD11" i="1"/>
  <c r="X12" i="1"/>
  <c r="T12" i="1"/>
  <c r="Y12" i="1"/>
  <c r="W12" i="1"/>
  <c r="Z12" i="1"/>
  <c r="S13" i="1"/>
  <c r="U12" i="1"/>
  <c r="V12" i="1" s="1"/>
  <c r="AC11" i="1"/>
  <c r="AG11" i="1"/>
  <c r="AG4" i="1"/>
  <c r="AC4" i="1"/>
  <c r="AD4" i="1"/>
  <c r="AH4" i="1"/>
  <c r="AD12" i="1" l="1"/>
  <c r="AH12" i="1"/>
  <c r="AF12" i="1"/>
  <c r="AB12" i="1"/>
  <c r="Z13" i="1"/>
  <c r="S14" i="1"/>
  <c r="U13" i="1"/>
  <c r="V13" i="1" s="1"/>
  <c r="Y13" i="1"/>
  <c r="T13" i="1"/>
  <c r="W13" i="1"/>
  <c r="X13" i="1"/>
  <c r="AA12" i="1"/>
  <c r="AE12" i="1"/>
  <c r="AC12" i="1"/>
  <c r="AG12" i="1"/>
  <c r="AF4" i="1"/>
  <c r="AB4" i="1"/>
  <c r="AG13" i="1" l="1"/>
  <c r="AC13" i="1"/>
  <c r="AF13" i="1"/>
  <c r="AB13" i="1"/>
  <c r="AA13" i="1"/>
  <c r="AE13" i="1"/>
  <c r="X14" i="1"/>
  <c r="T14" i="1"/>
  <c r="Y14" i="1"/>
  <c r="W14" i="1"/>
  <c r="Z14" i="1"/>
  <c r="S15" i="1"/>
  <c r="U14" i="1"/>
  <c r="V14" i="1" s="1"/>
  <c r="AH13" i="1"/>
  <c r="AD13" i="1"/>
  <c r="AE4" i="1"/>
  <c r="AA4" i="1"/>
  <c r="AC14" i="1" l="1"/>
  <c r="AG14" i="1"/>
  <c r="AD14" i="1"/>
  <c r="AH14" i="1"/>
  <c r="AF14" i="1"/>
  <c r="AB14" i="1"/>
  <c r="Z15" i="1"/>
  <c r="S16" i="1"/>
  <c r="U15" i="1"/>
  <c r="V15" i="1" s="1"/>
  <c r="Y15" i="1"/>
  <c r="T15" i="1"/>
  <c r="X15" i="1"/>
  <c r="W15" i="1"/>
  <c r="AE14" i="1"/>
  <c r="AA14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5" i="1" l="1"/>
  <c r="AD15" i="1"/>
  <c r="AA15" i="1"/>
  <c r="AE15" i="1"/>
  <c r="AF15" i="1"/>
  <c r="AB15" i="1"/>
  <c r="X16" i="1"/>
  <c r="T16" i="1"/>
  <c r="Y16" i="1"/>
  <c r="W16" i="1"/>
  <c r="Z16" i="1"/>
  <c r="S17" i="1"/>
  <c r="U16" i="1"/>
  <c r="V16" i="1" s="1"/>
  <c r="AG15" i="1"/>
  <c r="AC15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17" i="1" l="1"/>
  <c r="S18" i="1"/>
  <c r="U17" i="1"/>
  <c r="V17" i="1" s="1"/>
  <c r="Y17" i="1"/>
  <c r="T17" i="1"/>
  <c r="W17" i="1"/>
  <c r="X17" i="1"/>
  <c r="AD16" i="1"/>
  <c r="AH16" i="1"/>
  <c r="AF16" i="1"/>
  <c r="AB16" i="1"/>
  <c r="AE16" i="1"/>
  <c r="AA16" i="1"/>
  <c r="AC16" i="1"/>
  <c r="AG16" i="1"/>
  <c r="R4" i="1"/>
  <c r="S5" i="1" s="1"/>
  <c r="S6" i="1" s="1"/>
  <c r="AF17" i="1" l="1"/>
  <c r="AB17" i="1"/>
  <c r="AG17" i="1"/>
  <c r="AC17" i="1"/>
  <c r="AA17" i="1"/>
  <c r="AE17" i="1"/>
  <c r="X18" i="1"/>
  <c r="T18" i="1"/>
  <c r="W18" i="1"/>
  <c r="U18" i="1"/>
  <c r="V18" i="1" s="1"/>
  <c r="Z18" i="1"/>
  <c r="S19" i="1"/>
  <c r="Y18" i="1"/>
  <c r="AH17" i="1"/>
  <c r="AD17" i="1"/>
  <c r="X6" i="1"/>
  <c r="T6" i="1"/>
  <c r="W6" i="1"/>
  <c r="Z6" i="1"/>
  <c r="S7" i="1"/>
  <c r="Y6" i="1"/>
  <c r="U6" i="1"/>
  <c r="V6" i="1" s="1"/>
  <c r="T5" i="1"/>
  <c r="U5" i="1"/>
  <c r="V5" i="1" s="1"/>
  <c r="Z5" i="1"/>
  <c r="Y5" i="1"/>
  <c r="W5" i="1"/>
  <c r="X5" i="1"/>
  <c r="AE18" i="1" l="1"/>
  <c r="AA18" i="1"/>
  <c r="Z19" i="1"/>
  <c r="S20" i="1"/>
  <c r="Y19" i="1"/>
  <c r="U19" i="1"/>
  <c r="V19" i="1" s="1"/>
  <c r="X19" i="1"/>
  <c r="W19" i="1"/>
  <c r="T19" i="1"/>
  <c r="AD18" i="1"/>
  <c r="AH18" i="1"/>
  <c r="AF18" i="1"/>
  <c r="AB18" i="1"/>
  <c r="AC18" i="1"/>
  <c r="AG18" i="1"/>
  <c r="AH6" i="1"/>
  <c r="AD6" i="1"/>
  <c r="AE6" i="1"/>
  <c r="AA6" i="1"/>
  <c r="AG6" i="1"/>
  <c r="AC6" i="1"/>
  <c r="Z7" i="1"/>
  <c r="Y7" i="1"/>
  <c r="U7" i="1"/>
  <c r="V7" i="1" s="1"/>
  <c r="X7" i="1"/>
  <c r="T7" i="1"/>
  <c r="W7" i="1"/>
  <c r="AF6" i="1"/>
  <c r="AB6" i="1"/>
  <c r="AC5" i="1"/>
  <c r="AG5" i="1"/>
  <c r="AD5" i="1"/>
  <c r="AH5" i="1"/>
  <c r="AF5" i="1"/>
  <c r="AB5" i="1"/>
  <c r="AA5" i="1"/>
  <c r="AE5" i="1"/>
  <c r="AF19" i="1" l="1"/>
  <c r="AB19" i="1"/>
  <c r="AH19" i="1"/>
  <c r="AD19" i="1"/>
  <c r="AE19" i="1"/>
  <c r="AA19" i="1"/>
  <c r="X20" i="1"/>
  <c r="T20" i="1"/>
  <c r="W20" i="1"/>
  <c r="U20" i="1"/>
  <c r="V20" i="1" s="1"/>
  <c r="Z20" i="1"/>
  <c r="S21" i="1"/>
  <c r="Y20" i="1"/>
  <c r="AG19" i="1"/>
  <c r="AC19" i="1"/>
  <c r="AG7" i="1"/>
  <c r="AC7" i="1"/>
  <c r="AH7" i="1"/>
  <c r="AD7" i="1"/>
  <c r="AE7" i="1"/>
  <c r="AA7" i="1"/>
  <c r="AF7" i="1"/>
  <c r="AB7" i="1"/>
  <c r="Z21" i="1" l="1"/>
  <c r="S22" i="1"/>
  <c r="Y21" i="1"/>
  <c r="U21" i="1"/>
  <c r="V21" i="1" s="1"/>
  <c r="X21" i="1"/>
  <c r="W21" i="1"/>
  <c r="T21" i="1"/>
  <c r="AD20" i="1"/>
  <c r="AH20" i="1"/>
  <c r="AF20" i="1"/>
  <c r="AB20" i="1"/>
  <c r="AC20" i="1"/>
  <c r="AG20" i="1"/>
  <c r="AE20" i="1"/>
  <c r="AA20" i="1"/>
  <c r="AG21" i="1" l="1"/>
  <c r="AC21" i="1"/>
  <c r="AE21" i="1"/>
  <c r="AA21" i="1"/>
  <c r="X22" i="1"/>
  <c r="T22" i="1"/>
  <c r="W22" i="1"/>
  <c r="U22" i="1"/>
  <c r="V22" i="1" s="1"/>
  <c r="S23" i="1"/>
  <c r="Z22" i="1"/>
  <c r="Y22" i="1"/>
  <c r="AF21" i="1"/>
  <c r="AB21" i="1"/>
  <c r="AH21" i="1"/>
  <c r="AD21" i="1"/>
  <c r="AF22" i="1" l="1"/>
  <c r="AB22" i="1"/>
  <c r="AE22" i="1"/>
  <c r="AA22" i="1"/>
  <c r="Z23" i="1"/>
  <c r="Y23" i="1"/>
  <c r="U23" i="1"/>
  <c r="V23" i="1" s="1"/>
  <c r="X23" i="1"/>
  <c r="W23" i="1"/>
  <c r="T23" i="1"/>
  <c r="AC22" i="1"/>
  <c r="AG22" i="1"/>
  <c r="AD22" i="1"/>
  <c r="AH22" i="1"/>
  <c r="AF23" i="1" l="1"/>
  <c r="AB23" i="1"/>
  <c r="AG23" i="1"/>
  <c r="AC23" i="1"/>
  <c r="AE23" i="1"/>
  <c r="AA23" i="1"/>
  <c r="AH23" i="1"/>
  <c r="AD23" i="1"/>
</calcChain>
</file>

<file path=xl/sharedStrings.xml><?xml version="1.0" encoding="utf-8"?>
<sst xmlns="http://schemas.openxmlformats.org/spreadsheetml/2006/main" count="936" uniqueCount="484">
  <si>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</si>
  <si>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</si>
  <si>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</si>
  <si>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</si>
  <si>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</si>
  <si>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</si>
  <si>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</si>
  <si>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</si>
  <si>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</si>
  <si>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</si>
  <si>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</si>
  <si>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</si>
  <si>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</si>
  <si>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</si>
  <si>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</si>
  <si>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</si>
  <si>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</si>
  <si>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</si>
  <si>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</si>
  <si>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</si>
  <si>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</si>
  <si>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</si>
  <si>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</si>
  <si>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</si>
  <si>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</si>
  <si>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</si>
  <si>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</si>
  <si>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</si>
  <si>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</si>
  <si>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</si>
  <si>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</si>
  <si>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</si>
  <si>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</si>
  <si>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</si>
  <si>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</si>
  <si>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</si>
  <si>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</si>
  <si>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</si>
  <si>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</si>
  <si>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</si>
  <si>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</si>
  <si>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</si>
  <si>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</si>
  <si>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</si>
  <si>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</si>
  <si>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</si>
  <si>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</si>
  <si>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</si>
  <si>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</si>
  <si>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</si>
  <si>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</si>
  <si>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</si>
  <si>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</si>
  <si>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</si>
  <si>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</si>
  <si>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</si>
  <si>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</si>
  <si>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</si>
  <si>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</si>
  <si>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</si>
  <si>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</si>
  <si>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</si>
  <si>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</si>
  <si>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</si>
  <si>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</si>
  <si>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</si>
  <si>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</si>
  <si>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</si>
  <si>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</si>
  <si>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</si>
  <si>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</si>
  <si>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</si>
  <si>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</si>
  <si>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</si>
  <si>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</si>
  <si>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</si>
  <si>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</si>
  <si>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</si>
  <si>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</si>
  <si>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</si>
  <si>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</si>
  <si>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</si>
  <si>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</si>
  <si>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</si>
  <si>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</si>
  <si>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</si>
  <si>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</si>
  <si>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</si>
  <si>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</si>
  <si>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</si>
  <si>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</si>
  <si>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</si>
  <si>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</si>
  <si>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</si>
  <si>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</si>
  <si>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</si>
  <si>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</si>
  <si>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</si>
  <si>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</si>
  <si>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</si>
  <si>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</si>
  <si>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</si>
  <si>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</si>
  <si>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</si>
  <si>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</si>
  <si>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</si>
  <si>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</si>
  <si>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</si>
  <si>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</si>
  <si>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</si>
  <si>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</si>
  <si>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</si>
  <si>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</si>
  <si>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</si>
  <si>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</si>
  <si>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</si>
  <si>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</si>
  <si>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</si>
  <si>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</si>
  <si>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</si>
  <si>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</si>
  <si>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</si>
  <si>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</si>
  <si>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</si>
  <si>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</si>
  <si>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</si>
  <si>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</si>
  <si>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</si>
  <si>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</si>
  <si>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</si>
  <si>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</si>
  <si>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</si>
  <si>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</si>
  <si>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</si>
  <si>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</si>
  <si>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>TRmapMemArea</t>
  </si>
  <si>
    <t>t_uart_write_registers</t>
  </si>
  <si>
    <t>t_uart_read_registers</t>
  </si>
  <si>
    <t>UART Tx Buffer Control Register</t>
  </si>
  <si>
    <t>UART Tx Buffer Status Register</t>
  </si>
  <si>
    <t>UART Rx Buffer Control Register</t>
  </si>
  <si>
    <t>UART Rx Buffer Status Register</t>
  </si>
  <si>
    <t>Tx Buffer Write Requisition</t>
  </si>
  <si>
    <t>Tx Buffer Write Data</t>
  </si>
  <si>
    <t>Tx Buffer Full</t>
  </si>
  <si>
    <t>Tx Buffer Used Words [Bytes]</t>
  </si>
  <si>
    <t>Rx Buffer Read Requisition</t>
  </si>
  <si>
    <t>Rx Buffer Empty</t>
  </si>
  <si>
    <t>Rx Buffer Read Data</t>
  </si>
  <si>
    <t>Rx Buffer Used Words [Bytes]</t>
  </si>
  <si>
    <t>UartModule</t>
  </si>
  <si>
    <t>UartTxBufferControl</t>
  </si>
  <si>
    <t>UartRxBufferControl</t>
  </si>
  <si>
    <t>UartRxBufferStatus</t>
  </si>
  <si>
    <t>UartTxBufferStatus</t>
  </si>
  <si>
    <t>c_AVALON_MM_UART_MAX_ADDR</t>
  </si>
  <si>
    <t>c_AVALON_MM_UART_MIN_ADDR</t>
  </si>
  <si>
    <t>constant c_AVALON_MM_UART_MIN_ADDR : natural range 0 to 255 := 16#00#;</t>
  </si>
  <si>
    <t>-- UART Tx Buffer Control Register</t>
  </si>
  <si>
    <t>-- UART Tx Buffer Status Register</t>
  </si>
  <si>
    <t>-- UART Rx Buffer Control Register</t>
  </si>
  <si>
    <t>-- UART Rx Buffer Status Register</t>
  </si>
  <si>
    <t>type t_uart_write_registers is record</t>
  </si>
  <si>
    <t>end record t_uart_write_registers;</t>
  </si>
  <si>
    <t>type t_uart_read_registers is record</t>
  </si>
  <si>
    <t>end record t_uart_read_registers;</t>
  </si>
  <si>
    <t>avalon_mm_uart_i</t>
  </si>
  <si>
    <t>avalon_mm_uart_o</t>
  </si>
  <si>
    <t>uart_write_registers_i</t>
  </si>
  <si>
    <t>uart_read_registers_i</t>
  </si>
  <si>
    <t xml:space="preserve">      -- UART Tx Buffer Control Register : Tx Buffer Write Requisition</t>
  </si>
  <si>
    <t xml:space="preserve">    if (avalon_mm_uart_i.byteenable(0) = '1') then</t>
  </si>
  <si>
    <t xml:space="preserve">      -- UART Tx Buffer Control Register : Tx Buffer Write Data</t>
  </si>
  <si>
    <t xml:space="preserve">      -- UART Tx Buffer Status Register : Tx Buffer Full</t>
  </si>
  <si>
    <t xml:space="preserve">      -- UART Tx Buffer Status Register : Tx Buffer Used Words [Bytes]</t>
  </si>
  <si>
    <t xml:space="preserve">    if (avalon_mm_uart_i.byteenable(1) = '1') then</t>
  </si>
  <si>
    <t xml:space="preserve">      -- UART Rx Buffer Control Register : Rx Buffer Read Requisition</t>
  </si>
  <si>
    <t xml:space="preserve">      -- UART Rx Buffer Status Register : Rx Buffer Empty</t>
  </si>
  <si>
    <t xml:space="preserve">      -- UART Rx Buffer Status Register : Rx Buffer Read Data</t>
  </si>
  <si>
    <t xml:space="preserve">      -- UART Rx Buffer Status Register : Rx Buffer Used Words [Bytes]</t>
  </si>
  <si>
    <t xml:space="preserve">    if (avalon_mm_uart_i.byteenable(2) = '1') then</t>
  </si>
  <si>
    <t xml:space="preserve">    if (avalon_mm_uart_i.byteenable(3) = '1') then</t>
  </si>
  <si>
    <t xml:space="preserve">    avalon_mm_uart_o.readdata &lt;= (others =&gt; '0');</t>
  </si>
  <si>
    <t>uart_write_registers_o</t>
  </si>
  <si>
    <t>-- UART Tx Buffer Control Register : Tx Buffer Write Requisition</t>
  </si>
  <si>
    <t>-- UART Tx Buffer Control Register : Tx Buffer Write Data</t>
  </si>
  <si>
    <t>-- UART Rx Buffer Control Register : Rx Buffer Read Requisition</t>
  </si>
  <si>
    <t xml:space="preserve"> /* UART Tx Buffer Control Register Struct */</t>
  </si>
  <si>
    <t>typedef struct UartTxBufferControl {</t>
  </si>
  <si>
    <t>} TUartTxBufferControl;</t>
  </si>
  <si>
    <t xml:space="preserve"> /* UART Tx Buffer Status Register Struct */</t>
  </si>
  <si>
    <t>typedef struct UartTxBufferStatus {</t>
  </si>
  <si>
    <t>} TUartTxBufferStatus;</t>
  </si>
  <si>
    <t xml:space="preserve"> /* UART Rx Buffer Control Register Struct */</t>
  </si>
  <si>
    <t>typedef struct UartRxBufferControl {</t>
  </si>
  <si>
    <t>} TUartRxBufferControl;</t>
  </si>
  <si>
    <t xml:space="preserve"> /* UART Rx Buffer Status Register Struct */</t>
  </si>
  <si>
    <t>typedef struct UartRxBufferStatus {</t>
  </si>
  <si>
    <t>} TUartRxBufferStatus;</t>
  </si>
  <si>
    <t>typedef struct UartModule {</t>
  </si>
  <si>
    <t xml:space="preserve">  TUartTxBufferControl xUartTxBufferControl;</t>
  </si>
  <si>
    <t xml:space="preserve">  TUartTxBufferStatus xUartTxBufferStatus;</t>
  </si>
  <si>
    <t xml:space="preserve">  TUartRxBufferControl xUartRxBufferControl;</t>
  </si>
  <si>
    <t xml:space="preserve">  TUartRxBufferStatus xUartRxBufferStatus;</t>
  </si>
  <si>
    <t>} TUartModule;</t>
  </si>
  <si>
    <t>bTxFull</t>
  </si>
  <si>
    <t>bRxEmpty</t>
  </si>
  <si>
    <t>bTxWriteReq</t>
  </si>
  <si>
    <t>ucTxWriteData</t>
  </si>
  <si>
    <t>usiTxUsedWords</t>
  </si>
  <si>
    <t>bRxReadReq</t>
  </si>
  <si>
    <t>ucRxReadData</t>
  </si>
  <si>
    <t>usiRxUsedWords</t>
  </si>
  <si>
    <t>Tx Initial Read Address [High Dword]</t>
  </si>
  <si>
    <t>tx_rd_initial_addr_high_dword</t>
  </si>
  <si>
    <t>uliTxRdInitAddrHighDword</t>
  </si>
  <si>
    <t>Tx Initial Read Address [Low Dword]</t>
  </si>
  <si>
    <t>tx_rd_initial_addr_low_dword</t>
  </si>
  <si>
    <t>uliTxRdInitAddrLowDword</t>
  </si>
  <si>
    <t>Tx Read Data Length [Bytes]</t>
  </si>
  <si>
    <t>tx_rd_data_length_bytes</t>
  </si>
  <si>
    <t>uliTxRdDataLenghtBytes</t>
  </si>
  <si>
    <t>Tx Data Read Start</t>
  </si>
  <si>
    <t>tx_rd_start</t>
  </si>
  <si>
    <t>bTxRdStart</t>
  </si>
  <si>
    <t>Tx Data Read Reset</t>
  </si>
  <si>
    <t>tx_rd_reset</t>
  </si>
  <si>
    <t>bTxRdReset</t>
  </si>
  <si>
    <t>Rx Initial Write Address [High Dword]</t>
  </si>
  <si>
    <t>rx_wr_initial_addr_high_dword</t>
  </si>
  <si>
    <t>uliRxWrInitAddrHighDword</t>
  </si>
  <si>
    <t>Rx Initial Write Address [Low Dword]</t>
  </si>
  <si>
    <t>rx_wr_initial_addr_low_dword</t>
  </si>
  <si>
    <t>uliRxWrInitAddrLowDword</t>
  </si>
  <si>
    <t>Rx Write Data Length [Bytes]</t>
  </si>
  <si>
    <t>rx_wr_data_length_bytes</t>
  </si>
  <si>
    <t>uliRxWrDataLenghtBytes</t>
  </si>
  <si>
    <t>Rx Data Write Start</t>
  </si>
  <si>
    <t>rx_wr_start</t>
  </si>
  <si>
    <t>bRxWrStart</t>
  </si>
  <si>
    <t>Rx Data Write Reset</t>
  </si>
  <si>
    <t>rx_wr_reset</t>
  </si>
  <si>
    <t>bRxWrReset</t>
  </si>
  <si>
    <t>Tx Data Read Busy</t>
  </si>
  <si>
    <t>tx_rd_busy</t>
  </si>
  <si>
    <t>bTxRdBusy</t>
  </si>
  <si>
    <t>Rx Data Write Busy</t>
  </si>
  <si>
    <t>rx_wr_busy</t>
  </si>
  <si>
    <t>bRxWrBusy</t>
  </si>
  <si>
    <t>tx_buffer_control_reg</t>
  </si>
  <si>
    <t>tx_buffer_status_reg</t>
  </si>
  <si>
    <t>rx_buffer_control_reg</t>
  </si>
  <si>
    <t>rx_buffer_status_reg</t>
  </si>
  <si>
    <t>t_uart_tx_buffer_control_wr_reg</t>
  </si>
  <si>
    <t>t_uart_tx_buffer_status_rd_reg</t>
  </si>
  <si>
    <t>t_uart_rx_buffer_control_wr_reg</t>
  </si>
  <si>
    <t>t_uart_rx_buffer_status_rd_reg</t>
  </si>
  <si>
    <t>tx_wrreq</t>
  </si>
  <si>
    <t>tx_wrdata</t>
  </si>
  <si>
    <t>tx_full</t>
  </si>
  <si>
    <t>tx_usedw</t>
  </si>
  <si>
    <t>rx_rdreq</t>
  </si>
  <si>
    <t>rx_empty</t>
  </si>
  <si>
    <t>rx_rddata</t>
  </si>
  <si>
    <t>rx_usedw</t>
  </si>
  <si>
    <t>UART Tx Data Control Register</t>
  </si>
  <si>
    <t>UART Rx Data Control Register</t>
  </si>
  <si>
    <t>UART Tx Data Status Register</t>
  </si>
  <si>
    <t>UART Rx Data Status Register</t>
  </si>
  <si>
    <t>tx_data_control_reg</t>
  </si>
  <si>
    <t>t_uart_tx_data_control_wr_reg</t>
  </si>
  <si>
    <t>rx_data_control_reg</t>
  </si>
  <si>
    <t>t_uart_rx_data_control_wr_reg</t>
  </si>
  <si>
    <t>tx_data_status_reg</t>
  </si>
  <si>
    <t>t_uart_tx_data_status_rd_reg</t>
  </si>
  <si>
    <t>rx_data_status_reg</t>
  </si>
  <si>
    <t>t_uart_rx_data_status_rd_reg</t>
  </si>
  <si>
    <t>UartTxDataControl</t>
  </si>
  <si>
    <t>UartRxDataControl</t>
  </si>
  <si>
    <t>UartTxDataStatus</t>
  </si>
  <si>
    <t>UartRxDataStatus</t>
  </si>
  <si>
    <t>constant c_AVALON_MM_UART_MAX_ADDR : natural range 0 to 255 := 16#12#;</t>
  </si>
  <si>
    <t>type t_uart_tx_buffer_control_wr_reg is record</t>
  </si>
  <si>
    <t xml:space="preserve">  tx_wrreq : std_logic; -- Tx Buffer Write Requisition</t>
  </si>
  <si>
    <t xml:space="preserve">  tx_wrdata : std_logic_vector(7 downto 0); -- Tx Buffer Write Data</t>
  </si>
  <si>
    <t>end record t_uart_tx_buffer_control_wr_reg;</t>
  </si>
  <si>
    <t>type t_uart_tx_buffer_status_rd_reg is record</t>
  </si>
  <si>
    <t xml:space="preserve">  tx_full : std_logic; -- Tx Buffer Full</t>
  </si>
  <si>
    <t xml:space="preserve">  tx_usedw : std_logic_vector(14 downto 0); -- Tx Buffer Used Words [Bytes]</t>
  </si>
  <si>
    <t>end record t_uart_tx_buffer_status_rd_reg;</t>
  </si>
  <si>
    <t>type t_uart_rx_buffer_control_wr_reg is record</t>
  </si>
  <si>
    <t xml:space="preserve">  rx_rdreq : std_logic; -- Rx Buffer Read Requisition</t>
  </si>
  <si>
    <t>end record t_uart_rx_buffer_control_wr_reg;</t>
  </si>
  <si>
    <t>type t_uart_rx_buffer_status_rd_reg is record</t>
  </si>
  <si>
    <t xml:space="preserve">  rx_empty : std_logic; -- Rx Buffer Empty</t>
  </si>
  <si>
    <t xml:space="preserve">  rx_rddata : std_logic_vector(7 downto 0); -- Rx Buffer Read Data</t>
  </si>
  <si>
    <t xml:space="preserve">  rx_usedw : std_logic_vector(14 downto 0); -- Rx Buffer Used Words [Bytes]</t>
  </si>
  <si>
    <t>end record t_uart_rx_buffer_status_rd_reg;</t>
  </si>
  <si>
    <t>-- UART Tx Data Control Register</t>
  </si>
  <si>
    <t>type t_uart_tx_data_control_wr_reg is record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</si>
  <si>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</si>
  <si>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</si>
  <si>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</si>
  <si>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</si>
  <si>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</si>
  <si>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>end record t_uart_tx_data_control_wr_reg;</t>
  </si>
  <si>
    <t>-- UART Tx Data Status Register</t>
  </si>
  <si>
    <t>type t_uart_tx_data_status_rd_reg is record</t>
  </si>
  <si>
    <t xml:space="preserve">  tx_rd_busy : std_logic; -- Tx Data Read Busy</t>
  </si>
  <si>
    <t>end record t_uart_tx_data_status_rd_reg;</t>
  </si>
  <si>
    <t>-- UART Rx Data Control Register</t>
  </si>
  <si>
    <t>type t_uart_rx_data_control_wr_reg is record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</si>
  <si>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</si>
  <si>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</si>
  <si>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</si>
  <si>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</si>
  <si>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</si>
  <si>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>end record t_uart_rx_data_control_wr_reg;</t>
  </si>
  <si>
    <t>-- UART Rx Data Status Register</t>
  </si>
  <si>
    <t>type t_uart_rx_data_status_rd_reg is record</t>
  </si>
  <si>
    <t xml:space="preserve">  rx_wr_busy : std_logic; -- Rx Data Write Busy</t>
  </si>
  <si>
    <t>end record t_uart_rx_data_status_rd_reg;</t>
  </si>
  <si>
    <t xml:space="preserve">  tx_buffer_control_reg : t_uart_tx_buffer_control_wr_reg; -- UART Tx Buffer Control Register</t>
  </si>
  <si>
    <t xml:space="preserve">  rx_buffer_control_reg : t_uart_rx_buffer_control_wr_reg; -- UART Rx Buffer Control Register</t>
  </si>
  <si>
    <t xml:space="preserve">  tx_data_control_reg : t_uart_tx_data_control_wr_reg; -- UART Tx Data Control Register</t>
  </si>
  <si>
    <t xml:space="preserve">  rx_data_control_reg : t_uart_rx_data_control_wr_reg; -- UART Rx Data Control Register</t>
  </si>
  <si>
    <t xml:space="preserve">  tx_buffer_status_reg : t_uart_tx_buffer_status_rd_reg; -- UART Tx Buffer Status Register</t>
  </si>
  <si>
    <t xml:space="preserve">  rx_buffer_status_reg : t_uart_rx_buffer_status_rd_reg; -- UART Rx Buffer Status Register</t>
  </si>
  <si>
    <t xml:space="preserve">  tx_data_status_reg : t_uart_tx_data_status_rd_reg; -- UART Tx Data Status Register</t>
  </si>
  <si>
    <t xml:space="preserve">  rx_data_status_reg : t_uart_rx_data_status_rd_reg; -- UART Rx Data Status Register</t>
  </si>
  <si>
    <t xml:space="preserve">      avalon_mm_uart_o.readdata(0) &lt;= uart_write_registers_i.tx_buffer_control_reg.tx_wrreq;</t>
  </si>
  <si>
    <t xml:space="preserve">      avalon_mm_uart_o.readdata(7 downto 0) &lt;= uart_write_registers_i.tx_buffer_control_reg.tx_wrdata;</t>
  </si>
  <si>
    <t xml:space="preserve">      avalon_mm_uart_o.readdata(0) &lt;= uart_read_registers_i.tx_buffer_status_reg.tx_full;</t>
  </si>
  <si>
    <t xml:space="preserve">      avalon_mm_uart_o.readdata(7 downto 0) &lt;= uart_read_registers_i.tx_buffer_status_reg.tx_usedw(7 downto 0);</t>
  </si>
  <si>
    <t xml:space="preserve">      avalon_mm_uart_o.readdata(14 downto 8) &lt;= uart_read_registers_i.tx_buffer_status_reg.tx_usedw(14 downto 8);</t>
  </si>
  <si>
    <t xml:space="preserve">      avalon_mm_uart_o.readdata(0) &lt;= uart_write_registers_i.rx_buffer_control_reg.rx_rdreq;</t>
  </si>
  <si>
    <t xml:space="preserve">      avalon_mm_uart_o.readdata(0) &lt;= uart_read_registers_i.rx_buffer_status_reg.rx_empty;</t>
  </si>
  <si>
    <t xml:space="preserve">      avalon_mm_uart_o.readdata(7 downto 0) &lt;= uart_read_registers_i.rx_buffer_status_reg.rx_rddata;</t>
  </si>
  <si>
    <t xml:space="preserve">      avalon_mm_uart_o.readdata(23 downto 16) &lt;= uart_read_registers_i.rx_buffer_status_reg.rx_usedw(7 downto 0);</t>
  </si>
  <si>
    <t xml:space="preserve">      avalon_mm_uart_o.readdata(30 downto 24) &lt;= uart_read_registers_i.rx_buffer_status_reg.rx_usedw(14 downto 8);</t>
  </si>
  <si>
    <t xml:space="preserve">  when (16#07#) =&gt;</t>
  </si>
  <si>
    <t xml:space="preserve">      -- UART Tx Data Control Register : Tx Initial Read Address [High Dword]</t>
  </si>
  <si>
    <t xml:space="preserve">      avalon_mm_uart_o.readdata(7 downto 0) &lt;= uart_write_registers_i.tx_data_control_reg.tx_rd_initial_addr_high_dword(7 downto 0);</t>
  </si>
  <si>
    <t xml:space="preserve">      avalon_mm_uart_o.readdata(15 downto 8) &lt;= uart_write_registers_i.tx_data_control_reg.tx_rd_initial_addr_high_dword(15 downto 8);</t>
  </si>
  <si>
    <t xml:space="preserve">      avalon_mm_uart_o.readdata(23 downto 16) &lt;= uart_write_registers_i.tx_data_control_reg.tx_rd_initial_addr_high_dword(23 downto 16);</t>
  </si>
  <si>
    <t xml:space="preserve">      avalon_mm_uart_o.readdata(31 downto 24) &lt;= uart_write_registers_i.tx_data_control_reg.tx_rd_initial_addr_high_dword(31 downto 24);</t>
  </si>
  <si>
    <t xml:space="preserve">  when (16#08#) =&gt;</t>
  </si>
  <si>
    <t xml:space="preserve">      -- UART Tx Data Control Register : Tx Initial Read Address [Low Dword]</t>
  </si>
  <si>
    <t xml:space="preserve">      avalon_mm_uart_o.readdata(7 downto 0) &lt;= uart_write_registers_i.tx_data_control_reg.tx_rd_initial_addr_low_dword(7 downto 0);</t>
  </si>
  <si>
    <t xml:space="preserve">      avalon_mm_uart_o.readdata(15 downto 8) &lt;= uart_write_registers_i.tx_data_control_reg.tx_rd_initial_addr_low_dword(15 downto 8);</t>
  </si>
  <si>
    <t xml:space="preserve">      avalon_mm_uart_o.readdata(23 downto 16) &lt;= uart_write_registers_i.tx_data_control_reg.tx_rd_initial_addr_low_dword(23 downto 16);</t>
  </si>
  <si>
    <t xml:space="preserve">      avalon_mm_uart_o.readdata(31 downto 24) &lt;= uart_write_registers_i.tx_data_control_reg.tx_rd_initial_addr_low_dword(31 downto 24);</t>
  </si>
  <si>
    <t xml:space="preserve">  when (16#09#) =&gt;</t>
  </si>
  <si>
    <t xml:space="preserve">      -- UART Tx Data Control Register : Tx Read Data Length [Bytes]</t>
  </si>
  <si>
    <t xml:space="preserve">      avalon_mm_uart_o.readdata(7 downto 0) &lt;= uart_write_registers_i.tx_data_control_reg.tx_rd_data_length_bytes(7 downto 0);</t>
  </si>
  <si>
    <t xml:space="preserve">      avalon_mm_uart_o.readdata(15 downto 8) &lt;= uart_write_registers_i.tx_data_control_reg.tx_rd_data_length_bytes(15 downto 8);</t>
  </si>
  <si>
    <t xml:space="preserve">      avalon_mm_uart_o.readdata(23 downto 16) &lt;= uart_write_registers_i.tx_data_control_reg.tx_rd_data_length_bytes(23 downto 16);</t>
  </si>
  <si>
    <t xml:space="preserve">      avalon_mm_uart_o.readdata(31 downto 24) &lt;= uart_write_registers_i.tx_data_control_reg.tx_rd_data_length_bytes(31 downto 24);</t>
  </si>
  <si>
    <t xml:space="preserve">  when (16#0A#) =&gt;</t>
  </si>
  <si>
    <t xml:space="preserve">      -- UART Tx Data Control Register : Tx Data Read Start</t>
  </si>
  <si>
    <t xml:space="preserve">      avalon_mm_uart_o.readdata(0) &lt;= uart_write_registers_i.tx_data_control_reg.tx_rd_start;</t>
  </si>
  <si>
    <t xml:space="preserve">  when (16#0B#) =&gt;</t>
  </si>
  <si>
    <t xml:space="preserve">      -- UART Tx Data Control Register : Tx Data Read Reset</t>
  </si>
  <si>
    <t xml:space="preserve">      avalon_mm_uart_o.readdata(0) &lt;= uart_write_registers_i.tx_data_control_reg.tx_rd_reset;</t>
  </si>
  <si>
    <t xml:space="preserve">  when (16#0C#) =&gt;</t>
  </si>
  <si>
    <t xml:space="preserve">      -- UART Tx Data Status Register : Tx Data Read Busy</t>
  </si>
  <si>
    <t xml:space="preserve">      avalon_mm_uart_o.readdata(0) &lt;= uart_read_registers_i.tx_data_status_reg.tx_rd_busy;</t>
  </si>
  <si>
    <t xml:space="preserve">  when (16#0D#) =&gt;</t>
  </si>
  <si>
    <t xml:space="preserve">      -- UART Rx Data Control Register : Rx Initial Write Address [High Dword]</t>
  </si>
  <si>
    <t xml:space="preserve">      avalon_mm_uart_o.readdata(7 downto 0) &lt;= uart_write_registers_i.rx_data_control_reg.rx_wr_initial_addr_high_dword(7 downto 0);</t>
  </si>
  <si>
    <t xml:space="preserve">      avalon_mm_uart_o.readdata(15 downto 8) &lt;= uart_write_registers_i.rx_data_control_reg.rx_wr_initial_addr_high_dword(15 downto 8);</t>
  </si>
  <si>
    <t xml:space="preserve">      avalon_mm_uart_o.readdata(23 downto 16) &lt;= uart_write_registers_i.rx_data_control_reg.rx_wr_initial_addr_high_dword(23 downto 16);</t>
  </si>
  <si>
    <t xml:space="preserve">      avalon_mm_uart_o.readdata(31 downto 24) &lt;= uart_write_registers_i.rx_data_control_reg.rx_wr_initial_addr_high_dword(31 downto 24);</t>
  </si>
  <si>
    <t xml:space="preserve">  when (16#0E#) =&gt;</t>
  </si>
  <si>
    <t xml:space="preserve">      -- UART Rx Data Control Register : Rx Initial Write Address [Low Dword]</t>
  </si>
  <si>
    <t xml:space="preserve">      avalon_mm_uart_o.readdata(7 downto 0) &lt;= uart_write_registers_i.rx_data_control_reg.rx_wr_initial_addr_low_dword(7 downto 0);</t>
  </si>
  <si>
    <t xml:space="preserve">      avalon_mm_uart_o.readdata(15 downto 8) &lt;= uart_write_registers_i.rx_data_control_reg.rx_wr_initial_addr_low_dword(15 downto 8);</t>
  </si>
  <si>
    <t xml:space="preserve">      avalon_mm_uart_o.readdata(23 downto 16) &lt;= uart_write_registers_i.rx_data_control_reg.rx_wr_initial_addr_low_dword(23 downto 16);</t>
  </si>
  <si>
    <t xml:space="preserve">      avalon_mm_uart_o.readdata(31 downto 24) &lt;= uart_write_registers_i.rx_data_control_reg.rx_wr_initial_addr_low_dword(31 downto 24);</t>
  </si>
  <si>
    <t xml:space="preserve">  when (16#0F#) =&gt;</t>
  </si>
  <si>
    <t xml:space="preserve">      -- UART Rx Data Control Register : Rx Write Data Length [Bytes]</t>
  </si>
  <si>
    <t xml:space="preserve">      avalon_mm_uart_o.readdata(7 downto 0) &lt;= uart_write_registers_i.rx_data_control_reg.rx_wr_data_length_bytes(7 downto 0);</t>
  </si>
  <si>
    <t xml:space="preserve">      avalon_mm_uart_o.readdata(15 downto 8) &lt;= uart_write_registers_i.rx_data_control_reg.rx_wr_data_length_bytes(15 downto 8);</t>
  </si>
  <si>
    <t xml:space="preserve">      avalon_mm_uart_o.readdata(23 downto 16) &lt;= uart_write_registers_i.rx_data_control_reg.rx_wr_data_length_bytes(23 downto 16);</t>
  </si>
  <si>
    <t xml:space="preserve">      avalon_mm_uart_o.readdata(31 downto 24) &lt;= uart_write_registers_i.rx_data_control_reg.rx_wr_data_length_bytes(31 downto 24);</t>
  </si>
  <si>
    <t xml:space="preserve">  when (16#10#) =&gt;</t>
  </si>
  <si>
    <t xml:space="preserve">      -- UART Rx Data Control Register : Rx Data Write Start</t>
  </si>
  <si>
    <t xml:space="preserve">      avalon_mm_uart_o.readdata(0) &lt;= uart_write_registers_i.rx_data_control_reg.rx_wr_start;</t>
  </si>
  <si>
    <t xml:space="preserve">  when (16#11#) =&gt;</t>
  </si>
  <si>
    <t xml:space="preserve">      -- UART Rx Data Control Register : Rx Data Write Reset</t>
  </si>
  <si>
    <t xml:space="preserve">      avalon_mm_uart_o.readdata(0) &lt;= uart_write_registers_i.rx_data_control_reg.rx_wr_reset;</t>
  </si>
  <si>
    <t xml:space="preserve">  when (16#12#) =&gt;</t>
  </si>
  <si>
    <t xml:space="preserve">      -- UART Rx Data Status Register : Rx Data Write Busy</t>
  </si>
  <si>
    <t xml:space="preserve">      avalon_mm_uart_o.readdata(0) &lt;= uart_read_registers_i.rx_data_status_reg.rx_wr_busy;</t>
  </si>
  <si>
    <t xml:space="preserve">      uart_write_registers_o.tx_buffer_control_reg.tx_wrreq &lt;= avalon_mm_uart_i.writedata(0);</t>
  </si>
  <si>
    <t xml:space="preserve">      uart_write_registers_o.tx_buffer_control_reg.tx_wrdata &lt;= avalon_mm_uart_i.writedata(7 downto 0);</t>
  </si>
  <si>
    <t xml:space="preserve">      uart_write_registers_o.rx_buffer_control_reg.rx_rdreq &lt;= avalon_mm_uart_i.writedata(0);</t>
  </si>
  <si>
    <t xml:space="preserve">      uart_write_registers_o.tx_data_control_reg.tx_rd_initial_addr_high_dword(7 downto 0) &lt;= avalon_mm_uart_i.writedata(7 downto 0);</t>
  </si>
  <si>
    <t xml:space="preserve">      uart_write_registers_o.tx_data_control_reg.tx_rd_initial_addr_high_dword(15 downto 8) &lt;= avalon_mm_uart_i.writedata(15 downto 8);</t>
  </si>
  <si>
    <t xml:space="preserve">      uart_write_registers_o.tx_data_control_reg.tx_rd_initial_addr_high_dword(23 downto 16) &lt;= avalon_mm_uart_i.writedata(23 downto 16);</t>
  </si>
  <si>
    <t xml:space="preserve">      uart_write_registers_o.tx_data_control_reg.tx_rd_initial_addr_high_dword(31 downto 24) &lt;= avalon_mm_uart_i.writedata(31 downto 24);</t>
  </si>
  <si>
    <t xml:space="preserve">      uart_write_registers_o.tx_data_control_reg.tx_rd_initial_addr_low_dword(7 downto 0) &lt;= avalon_mm_uart_i.writedata(7 downto 0);</t>
  </si>
  <si>
    <t xml:space="preserve">      uart_write_registers_o.tx_data_control_reg.tx_rd_initial_addr_low_dword(15 downto 8) &lt;= avalon_mm_uart_i.writedata(15 downto 8);</t>
  </si>
  <si>
    <t xml:space="preserve">      uart_write_registers_o.tx_data_control_reg.tx_rd_initial_addr_low_dword(23 downto 16) &lt;= avalon_mm_uart_i.writedata(23 downto 16);</t>
  </si>
  <si>
    <t xml:space="preserve">      uart_write_registers_o.tx_data_control_reg.tx_rd_initial_addr_low_dword(31 downto 24) &lt;= avalon_mm_uart_i.writedata(31 downto 24);</t>
  </si>
  <si>
    <t xml:space="preserve">      uart_write_registers_o.tx_data_control_reg.tx_rd_data_length_bytes(7 downto 0) &lt;= avalon_mm_uart_i.writedata(7 downto 0);</t>
  </si>
  <si>
    <t xml:space="preserve">      uart_write_registers_o.tx_data_control_reg.tx_rd_data_length_bytes(15 downto 8) &lt;= avalon_mm_uart_i.writedata(15 downto 8);</t>
  </si>
  <si>
    <t xml:space="preserve">      uart_write_registers_o.tx_data_control_reg.tx_rd_data_length_bytes(23 downto 16) &lt;= avalon_mm_uart_i.writedata(23 downto 16);</t>
  </si>
  <si>
    <t xml:space="preserve">      uart_write_registers_o.tx_data_control_reg.tx_rd_data_length_bytes(31 downto 24) &lt;= avalon_mm_uart_i.writedata(31 downto 24);</t>
  </si>
  <si>
    <t xml:space="preserve">      uart_write_registers_o.tx_data_control_reg.tx_rd_start &lt;= avalon_mm_uart_i.writedata(0);</t>
  </si>
  <si>
    <t xml:space="preserve">      uart_write_registers_o.tx_data_control_reg.tx_rd_reset &lt;= avalon_mm_uart_i.writedata(0);</t>
  </si>
  <si>
    <t xml:space="preserve">      uart_write_registers_o.rx_data_control_reg.rx_wr_initial_addr_high_dword(7 downto 0) &lt;= avalon_mm_uart_i.writedata(7 downto 0);</t>
  </si>
  <si>
    <t xml:space="preserve">      uart_write_registers_o.rx_data_control_reg.rx_wr_initial_addr_high_dword(15 downto 8) &lt;= avalon_mm_uart_i.writedata(15 downto 8);</t>
  </si>
  <si>
    <t xml:space="preserve">      uart_write_registers_o.rx_data_control_reg.rx_wr_initial_addr_high_dword(23 downto 16) &lt;= avalon_mm_uart_i.writedata(23 downto 16);</t>
  </si>
  <si>
    <t xml:space="preserve">      uart_write_registers_o.rx_data_control_reg.rx_wr_initial_addr_high_dword(31 downto 24) &lt;= avalon_mm_uart_i.writedata(31 downto 24);</t>
  </si>
  <si>
    <t xml:space="preserve">      uart_write_registers_o.rx_data_control_reg.rx_wr_initial_addr_low_dword(7 downto 0) &lt;= avalon_mm_uart_i.writedata(7 downto 0);</t>
  </si>
  <si>
    <t xml:space="preserve">      uart_write_registers_o.rx_data_control_reg.rx_wr_initial_addr_low_dword(15 downto 8) &lt;= avalon_mm_uart_i.writedata(15 downto 8);</t>
  </si>
  <si>
    <t xml:space="preserve">      uart_write_registers_o.rx_data_control_reg.rx_wr_initial_addr_low_dword(23 downto 16) &lt;= avalon_mm_uart_i.writedata(23 downto 16);</t>
  </si>
  <si>
    <t xml:space="preserve">      uart_write_registers_o.rx_data_control_reg.rx_wr_initial_addr_low_dword(31 downto 24) &lt;= avalon_mm_uart_i.writedata(31 downto 24);</t>
  </si>
  <si>
    <t xml:space="preserve">      uart_write_registers_o.rx_data_control_reg.rx_wr_data_length_bytes(7 downto 0) &lt;= avalon_mm_uart_i.writedata(7 downto 0);</t>
  </si>
  <si>
    <t xml:space="preserve">      uart_write_registers_o.rx_data_control_reg.rx_wr_data_length_bytes(15 downto 8) &lt;= avalon_mm_uart_i.writedata(15 downto 8);</t>
  </si>
  <si>
    <t xml:space="preserve">      uart_write_registers_o.rx_data_control_reg.rx_wr_data_length_bytes(23 downto 16) &lt;= avalon_mm_uart_i.writedata(23 downto 16);</t>
  </si>
  <si>
    <t xml:space="preserve">      uart_write_registers_o.rx_data_control_reg.rx_wr_data_length_bytes(31 downto 24) &lt;= avalon_mm_uart_i.writedata(31 downto 24);</t>
  </si>
  <si>
    <t xml:space="preserve">      uart_write_registers_o.rx_data_control_reg.rx_wr_start &lt;= avalon_mm_uart_i.writedata(0);</t>
  </si>
  <si>
    <t xml:space="preserve">      uart_write_registers_o.rx_data_control_reg.rx_wr_reset &lt;= avalon_mm_uart_i.writedata(0);</t>
  </si>
  <si>
    <t>uart_write_registers_o.tx_buffer_control_reg.tx_wrreq &lt;= '0';</t>
  </si>
  <si>
    <t>uart_write_registers_o.tx_buffer_control_reg.tx_wrdata &lt;= (others =&gt; '0');</t>
  </si>
  <si>
    <t>uart_write_registers_o.rx_buffer_control_reg.rx_rdreq &lt;= '0';</t>
  </si>
  <si>
    <t>-- UART Tx Data Control Register : Tx Initial Read Address [High Dword]</t>
  </si>
  <si>
    <t>uart_write_registers_o.tx_data_control_reg.tx_rd_initial_addr_high_dword &lt;= (others =&gt; '0');</t>
  </si>
  <si>
    <t>-- UART Tx Data Control Register : Tx Initial Read Address [Low Dword]</t>
  </si>
  <si>
    <t>uart_write_registers_o.tx_data_control_reg.tx_rd_initial_addr_low_dword &lt;= (others =&gt; '0');</t>
  </si>
  <si>
    <t>-- UART Tx Data Control Register : Tx Read Data Length [Bytes]</t>
  </si>
  <si>
    <t>uart_write_registers_o.tx_data_control_reg.tx_rd_data_length_bytes &lt;= (others =&gt; '0');</t>
  </si>
  <si>
    <t>-- UART Tx Data Control Register : Tx Data Read Start</t>
  </si>
  <si>
    <t>uart_write_registers_o.tx_data_control_reg.tx_rd_start &lt;= '0';</t>
  </si>
  <si>
    <t>-- UART Tx Data Control Register : Tx Data Read Reset</t>
  </si>
  <si>
    <t>uart_write_registers_o.tx_data_control_reg.tx_rd_reset &lt;= '0';</t>
  </si>
  <si>
    <t>-- UART Rx Data Control Register : Rx Initial Write Address [High Dword]</t>
  </si>
  <si>
    <t>uart_write_registers_o.rx_data_control_reg.rx_wr_initial_addr_high_dword &lt;= (others =&gt; '0');</t>
  </si>
  <si>
    <t>-- UART Rx Data Control Register : Rx Initial Write Address [Low Dword]</t>
  </si>
  <si>
    <t>uart_write_registers_o.rx_data_control_reg.rx_wr_initial_addr_low_dword &lt;= (others =&gt; '0');</t>
  </si>
  <si>
    <t>-- UART Rx Data Control Register : Rx Write Data Length [Bytes]</t>
  </si>
  <si>
    <t>uart_write_registers_o.rx_data_control_reg.rx_wr_data_length_bytes &lt;= (others =&gt; '0');</t>
  </si>
  <si>
    <t>-- UART Rx Data Control Register : Rx Data Write Start</t>
  </si>
  <si>
    <t>uart_write_registers_o.rx_data_control_reg.rx_wr_start &lt;= '0';</t>
  </si>
  <si>
    <t>-- UART Rx Data Control Register : Rx Data Write Reset</t>
  </si>
  <si>
    <t>uart_write_registers_o.rx_data_control_reg.rx_wr_reset &lt;= '0';</t>
  </si>
  <si>
    <t xml:space="preserve">  bool bTxWriteReq; /* Tx Buffer Write Requisition */</t>
  </si>
  <si>
    <t xml:space="preserve">  alt_u8 ucTxWriteData; /* Tx Buffer Write Data */</t>
  </si>
  <si>
    <t xml:space="preserve">  bool bTxFull; /* Tx Buffer Full */</t>
  </si>
  <si>
    <t xml:space="preserve">  alt_u16 usiTxUsedWords; /* Tx Buffer Used Words [Bytes] */</t>
  </si>
  <si>
    <t xml:space="preserve">  bool bRxReadReq; /* Rx Buffer Read Requisition */</t>
  </si>
  <si>
    <t xml:space="preserve">  bool bRxEmpty; /* Rx Buffer Empty */</t>
  </si>
  <si>
    <t xml:space="preserve">  alt_u8 ucRxReadData; /* Rx Buffer Read Data */</t>
  </si>
  <si>
    <t xml:space="preserve">  alt_u16 usiRxUsedWords; /* Rx Buffer Used Words [Bytes] */</t>
  </si>
  <si>
    <t xml:space="preserve"> /* UART Tx Data Control Register Struct */</t>
  </si>
  <si>
    <t>typedef struct UartTxDataControl {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</si>
  <si>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</si>
  <si>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</si>
  <si>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</si>
  <si>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</si>
  <si>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</si>
  <si>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>} TUartTxDataControl;</t>
  </si>
  <si>
    <t xml:space="preserve"> /* UART Tx Data Status Register Struct */</t>
  </si>
  <si>
    <t>typedef struct UartTxDataStatus {</t>
  </si>
  <si>
    <t xml:space="preserve">  bool bTxRdBusy; /* Tx Data Read Busy */</t>
  </si>
  <si>
    <t>} TUartTxDataStatus;</t>
  </si>
  <si>
    <t xml:space="preserve"> /* UART Rx Data Control Register Struct */</t>
  </si>
  <si>
    <t>typedef struct UartRxDataControl {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</si>
  <si>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</si>
  <si>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</si>
  <si>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</si>
  <si>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</si>
  <si>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</si>
  <si>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>} TUartRxDataControl;</t>
  </si>
  <si>
    <t xml:space="preserve"> /* UART Rx Data Status Register Struct */</t>
  </si>
  <si>
    <t>typedef struct UartRxDataStatus {</t>
  </si>
  <si>
    <t xml:space="preserve">  bool bRxWrBusy; /* Rx Data Write Busy */</t>
  </si>
  <si>
    <t>} TUartRxDataStatus;</t>
  </si>
  <si>
    <t xml:space="preserve">  TUartTxDataControl xUartTxDataControl;</t>
  </si>
  <si>
    <t xml:space="preserve">  TUartTxDataStatus xUartTxDataStatus;</t>
  </si>
  <si>
    <t xml:space="preserve">  TUartRxDataControl xUartRxDataControl;</t>
  </si>
  <si>
    <t xml:space="preserve">  TUartRxDataStatus xUartRxDataStatus;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</si>
</sst>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4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138</v>
      </c>
      <c r="C4" s="3" t="s">
        <v>142</v>
      </c>
      <c r="D4" s="3" t="s">
        <v>1</v>
      </c>
      <c r="E4" s="3" t="s">
        <v>136</v>
      </c>
      <c r="F4" s="3" t="s">
        <v>249</v>
      </c>
      <c r="G4" s="3" t="s">
        <v>253</v>
      </c>
      <c r="H4" s="3" t="s">
        <v>257</v>
      </c>
      <c r="I4" s="3" t="s">
        <v>42</v>
      </c>
      <c r="J4" s="3">
        <v>1</v>
      </c>
      <c r="K4" s="8" t="s">
        <v>82</v>
      </c>
      <c r="L4" s="8" t="s">
        <v>82</v>
      </c>
      <c r="M4" s="3" t="s">
        <v>150</v>
      </c>
      <c r="N4" s="3" t="s">
        <v>151</v>
      </c>
      <c r="O4" s="3" t="s">
        <v>207</v>
      </c>
      <c r="P4" s="3" t="s">
        <v>5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23" si="0">DEC2HEX($S4,3)</f>
        <v>000</v>
      </c>
      <c r="U4" s="3">
        <f>ROUNDDOWN(S4/4,0)</f>
        <v>0</v>
      </c>
      <c r="V4" s="3" t="str">
        <f t="shared" ref="V4:V23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138</v>
      </c>
      <c r="C5" s="3" t="s">
        <v>143</v>
      </c>
      <c r="D5" s="3" t="s">
        <v>1</v>
      </c>
      <c r="E5" s="3" t="s">
        <v>136</v>
      </c>
      <c r="F5" s="3" t="s">
        <v>249</v>
      </c>
      <c r="G5" s="3" t="s">
        <v>253</v>
      </c>
      <c r="H5" s="3" t="s">
        <v>258</v>
      </c>
      <c r="I5" s="3" t="s">
        <v>42</v>
      </c>
      <c r="J5" s="3">
        <v>8</v>
      </c>
      <c r="K5" s="8" t="s">
        <v>127</v>
      </c>
      <c r="L5" s="8" t="s">
        <v>41</v>
      </c>
      <c r="M5" s="3" t="s">
        <v>150</v>
      </c>
      <c r="N5" s="3" t="s">
        <v>151</v>
      </c>
      <c r="O5" s="3" t="s">
        <v>208</v>
      </c>
      <c r="P5" s="3" t="s">
        <v>48</v>
      </c>
      <c r="Q5" s="3">
        <f>INDEX(Tables!$C$4:$C$29,MATCH($P5,Tables!$B$4:$B$29,0))</f>
        <v>8</v>
      </c>
      <c r="R5" s="3">
        <f>INDEX(Tables!$D$4:$D$29,MATCH($P5,Tables!$B$4:$B$29,0))</f>
        <v>1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23" si="11">IF(MOD($S5,4)=3,"X",IF(AND(MOD($S5,4)=2,$J5&gt;8),"X",IF(AND(MOD($S5,4)=1,$J5&gt;16),"X",IF(AND(MOD($S5,4)=0,$J5&gt;24),"X",""))))</f>
        <v/>
      </c>
      <c r="X5" s="3" t="str">
        <f t="shared" ref="X5:X23" si="12">IF(MOD($S5,4)=2,"X",IF(AND(MOD($S5,4)=1,$J5&gt;8),"X",IF(AND(MOD($S5,4)=0,$J5&gt;16),"X","")))</f>
        <v/>
      </c>
      <c r="Y5" s="3" t="str">
        <f t="shared" ref="Y5:Y23" si="13">IF(MOD($S5,4)=1,"X",IF(AND(MOD($S5,4)=0,$J5&gt;8),"X",""))</f>
        <v/>
      </c>
      <c r="Z5" s="3" t="str">
        <f t="shared" ref="Z5:Z23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139</v>
      </c>
      <c r="C6" s="3" t="s">
        <v>144</v>
      </c>
      <c r="D6" s="3" t="s">
        <v>0</v>
      </c>
      <c r="E6" s="3" t="s">
        <v>137</v>
      </c>
      <c r="F6" s="3" t="s">
        <v>250</v>
      </c>
      <c r="G6" s="3" t="s">
        <v>254</v>
      </c>
      <c r="H6" s="3" t="s">
        <v>259</v>
      </c>
      <c r="I6" s="3" t="s">
        <v>42</v>
      </c>
      <c r="J6" s="3">
        <v>1</v>
      </c>
      <c r="K6" s="8" t="s">
        <v>41</v>
      </c>
      <c r="L6" s="8" t="s">
        <v>41</v>
      </c>
      <c r="M6" s="3" t="s">
        <v>150</v>
      </c>
      <c r="N6" s="3" t="s">
        <v>154</v>
      </c>
      <c r="O6" s="3" t="s">
        <v>205</v>
      </c>
      <c r="P6" s="3" t="s">
        <v>5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139</v>
      </c>
      <c r="C7" s="3" t="s">
        <v>145</v>
      </c>
      <c r="D7" s="3" t="s">
        <v>0</v>
      </c>
      <c r="E7" s="3" t="s">
        <v>137</v>
      </c>
      <c r="F7" s="3" t="s">
        <v>250</v>
      </c>
      <c r="G7" s="3" t="s">
        <v>254</v>
      </c>
      <c r="H7" s="3" t="s">
        <v>260</v>
      </c>
      <c r="I7" s="3" t="s">
        <v>42</v>
      </c>
      <c r="J7" s="3">
        <v>15</v>
      </c>
      <c r="K7" s="8" t="s">
        <v>41</v>
      </c>
      <c r="L7" s="8" t="s">
        <v>41</v>
      </c>
      <c r="M7" s="3" t="s">
        <v>150</v>
      </c>
      <c r="N7" s="3" t="s">
        <v>154</v>
      </c>
      <c r="O7" s="3" t="s">
        <v>209</v>
      </c>
      <c r="P7" s="3" t="s">
        <v>50</v>
      </c>
      <c r="Q7" s="3">
        <f>INDEX(Tables!$C$4:$C$29,MATCH($P7,Tables!$B$4:$B$29,0))</f>
        <v>16</v>
      </c>
      <c r="R7" s="3">
        <f>INDEX(Tables!$D$4:$D$29,MATCH($P7,Tables!$B$4:$B$29,0))</f>
        <v>2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>X</v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>(14 downto 8)</v>
      </c>
      <c r="AD7" s="3" t="str">
        <f t="shared" si="19"/>
        <v>(7 downto 0)</v>
      </c>
      <c r="AE7" s="3" t="str">
        <f t="shared" si="20"/>
        <v/>
      </c>
      <c r="AF7" s="3" t="str">
        <f t="shared" si="21"/>
        <v/>
      </c>
      <c r="AG7" s="3" t="str">
        <f t="shared" si="22"/>
        <v>(14 downto 8)</v>
      </c>
      <c r="AH7" s="3" t="str">
        <f t="shared" si="23"/>
        <v>(7 downto 0)</v>
      </c>
    </row>
    <row r="8" spans="1:35" x14ac:dyDescent="0.25">
      <c r="B8" s="3" t="s">
        <v>140</v>
      </c>
      <c r="C8" s="3" t="s">
        <v>146</v>
      </c>
      <c r="D8" s="3" t="s">
        <v>1</v>
      </c>
      <c r="E8" s="3" t="s">
        <v>136</v>
      </c>
      <c r="F8" s="3" t="s">
        <v>251</v>
      </c>
      <c r="G8" s="3" t="s">
        <v>255</v>
      </c>
      <c r="H8" s="3" t="s">
        <v>261</v>
      </c>
      <c r="I8" s="3" t="s">
        <v>42</v>
      </c>
      <c r="J8" s="3">
        <v>1</v>
      </c>
      <c r="K8" s="8" t="s">
        <v>82</v>
      </c>
      <c r="L8" s="8" t="s">
        <v>82</v>
      </c>
      <c r="M8" s="3" t="s">
        <v>150</v>
      </c>
      <c r="N8" s="3" t="s">
        <v>152</v>
      </c>
      <c r="O8" s="3" t="s">
        <v>210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23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23" si="25">IF(W8="","",CONCATENATE("(",IF(($J8-COUNTIF($X8:$Z8,"X")*8)=1,"24)",CONCATENATE(IF(($J8-COUNTIF($X8:$Z8,"X")*8)&gt;=8,32,($J8-COUNTIF($X8:$Z8,"X")*8)+24)-1," downto 24)"))))</f>
        <v/>
      </c>
      <c r="AB8" s="3" t="str">
        <f t="shared" ref="AB8:AB23" si="26">IF(X8="","",CONCATENATE("(",IF(($J8-COUNTIF($Y8:$Z8,"X")*8)=1,"16)",CONCATENATE(IF(($J8-COUNTIF($Y8:$Z8,"X")*8)&gt;=8,24,($J8-COUNTIF($Y8:$Z8,"X")*8)+16)-1," downto 16)"))))</f>
        <v/>
      </c>
      <c r="AC8" s="3" t="str">
        <f t="shared" ref="AC8:AC23" si="27">IF(Y8="","",CONCATENATE("(",IF(($J8-COUNTIF($Z8,"X")*8)=1,"8)",CONCATENATE(IF(($J8-COUNTIF($Z8,"X")*8)&gt;=8,16,($J8-COUNTIF($Z8,"X")*8)+8)-1," downto 8)"))))</f>
        <v/>
      </c>
      <c r="AD8" s="3" t="str">
        <f t="shared" ref="AD8:AD23" si="28">IF(Z8="","",CONCATENATE("(",IF($J8=1,"0)",CONCATENATE(IF($J8&gt;=8,8,$J8)-1," downto 0)"))))</f>
        <v>(0)</v>
      </c>
      <c r="AE8" s="3" t="str">
        <f t="shared" ref="AE8:AE23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23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23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23" si="32">IF(Z8="","",IF($J8&lt;=8,"",CONCATENATE("(",IF($J8&gt;=8,7,$J8-1)," downto ",0,")")))</f>
        <v/>
      </c>
    </row>
    <row r="9" spans="1:35" x14ac:dyDescent="0.25">
      <c r="B9" s="3" t="s">
        <v>141</v>
      </c>
      <c r="C9" s="3" t="s">
        <v>147</v>
      </c>
      <c r="D9" s="3" t="s">
        <v>0</v>
      </c>
      <c r="E9" s="3" t="s">
        <v>137</v>
      </c>
      <c r="F9" s="3" t="s">
        <v>252</v>
      </c>
      <c r="G9" s="3" t="s">
        <v>256</v>
      </c>
      <c r="H9" s="3" t="s">
        <v>262</v>
      </c>
      <c r="I9" s="3" t="s">
        <v>42</v>
      </c>
      <c r="J9" s="3">
        <v>1</v>
      </c>
      <c r="K9" s="8" t="s">
        <v>41</v>
      </c>
      <c r="L9" s="8" t="s">
        <v>41</v>
      </c>
      <c r="M9" s="3" t="s">
        <v>150</v>
      </c>
      <c r="N9" s="3" t="s">
        <v>153</v>
      </c>
      <c r="O9" s="3" t="s">
        <v>206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141</v>
      </c>
      <c r="C10" s="3" t="s">
        <v>148</v>
      </c>
      <c r="D10" s="3" t="s">
        <v>0</v>
      </c>
      <c r="E10" s="3" t="s">
        <v>137</v>
      </c>
      <c r="F10" s="3" t="s">
        <v>252</v>
      </c>
      <c r="G10" s="3" t="s">
        <v>256</v>
      </c>
      <c r="H10" s="3" t="s">
        <v>263</v>
      </c>
      <c r="I10" s="3" t="s">
        <v>42</v>
      </c>
      <c r="J10" s="3">
        <v>8</v>
      </c>
      <c r="K10" s="8" t="s">
        <v>41</v>
      </c>
      <c r="L10" s="8" t="s">
        <v>41</v>
      </c>
      <c r="M10" s="3" t="s">
        <v>150</v>
      </c>
      <c r="N10" s="3" t="s">
        <v>153</v>
      </c>
      <c r="O10" s="3" t="s">
        <v>211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141</v>
      </c>
      <c r="C11" s="3" t="s">
        <v>149</v>
      </c>
      <c r="D11" s="3" t="s">
        <v>0</v>
      </c>
      <c r="E11" s="3" t="s">
        <v>137</v>
      </c>
      <c r="F11" s="3" t="s">
        <v>252</v>
      </c>
      <c r="G11" s="3" t="s">
        <v>256</v>
      </c>
      <c r="H11" s="3" t="s">
        <v>264</v>
      </c>
      <c r="I11" s="3" t="s">
        <v>42</v>
      </c>
      <c r="J11" s="3">
        <v>15</v>
      </c>
      <c r="K11" s="8" t="s">
        <v>41</v>
      </c>
      <c r="L11" s="8" t="s">
        <v>41</v>
      </c>
      <c r="M11" s="3" t="s">
        <v>150</v>
      </c>
      <c r="N11" s="3" t="s">
        <v>153</v>
      </c>
      <c r="O11" s="3" t="s">
        <v>212</v>
      </c>
      <c r="P11" s="3" t="s">
        <v>50</v>
      </c>
      <c r="Q11" s="3">
        <f>INDEX(Tables!$C$4:$C$29,MATCH($P11,Tables!$B$4:$B$29,0))</f>
        <v>16</v>
      </c>
      <c r="R11" s="3">
        <f>INDEX(Tables!$D$4:$D$29,MATCH($P11,Tables!$B$4:$B$29,0))</f>
        <v>2</v>
      </c>
      <c r="S11" s="3">
        <f>$S10+$R10+INDEX(Tables!$N$5:$Q$8,MATCH(MOD($S10+$R10,4),Tables!$M$5:$M$8,0),MATCH($R11,Tables!$N$4:$Q$4,0))</f>
        <v>26</v>
      </c>
      <c r="T11" s="3" t="str">
        <f t="shared" si="0"/>
        <v>01A</v>
      </c>
      <c r="U11" s="3">
        <f t="shared" si="24"/>
        <v>6</v>
      </c>
      <c r="V11" s="3" t="str">
        <f t="shared" si="1"/>
        <v>06</v>
      </c>
      <c r="W11" s="3" t="str">
        <f t="shared" si="11"/>
        <v>X</v>
      </c>
      <c r="X11" s="3" t="str">
        <f t="shared" si="12"/>
        <v>X</v>
      </c>
      <c r="Y11" s="3" t="str">
        <f t="shared" si="13"/>
        <v/>
      </c>
      <c r="Z11" s="3" t="str">
        <f t="shared" si="14"/>
        <v/>
      </c>
      <c r="AA11" s="3" t="str">
        <f t="shared" si="25"/>
        <v>(30 downto 24)</v>
      </c>
      <c r="AB11" s="3" t="str">
        <f t="shared" si="26"/>
        <v>(23 downto 16)</v>
      </c>
      <c r="AC11" s="3" t="str">
        <f t="shared" si="27"/>
        <v/>
      </c>
      <c r="AD11" s="3" t="str">
        <f t="shared" si="28"/>
        <v/>
      </c>
      <c r="AE11" s="3" t="str">
        <f t="shared" si="29"/>
        <v>(14 downto 8)</v>
      </c>
      <c r="AF11" s="3" t="str">
        <f t="shared" si="30"/>
        <v>(7 downto 0)</v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265</v>
      </c>
      <c r="C12" s="3" t="s">
        <v>213</v>
      </c>
      <c r="D12" s="3" t="s">
        <v>1</v>
      </c>
      <c r="E12" s="3" t="s">
        <v>136</v>
      </c>
      <c r="F12" s="3" t="s">
        <v>269</v>
      </c>
      <c r="G12" s="3" t="s">
        <v>270</v>
      </c>
      <c r="H12" s="3" t="s">
        <v>214</v>
      </c>
      <c r="I12" s="3" t="s">
        <v>42</v>
      </c>
      <c r="J12" s="3">
        <v>32</v>
      </c>
      <c r="K12" s="8" t="s">
        <v>127</v>
      </c>
      <c r="L12" s="8" t="s">
        <v>41</v>
      </c>
      <c r="M12" s="3" t="s">
        <v>150</v>
      </c>
      <c r="N12" s="3" t="s">
        <v>277</v>
      </c>
      <c r="O12" s="3" t="s">
        <v>215</v>
      </c>
      <c r="P12" s="3" t="s">
        <v>49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28</v>
      </c>
      <c r="T12" s="3" t="str">
        <f t="shared" si="0"/>
        <v>01C</v>
      </c>
      <c r="U12" s="3">
        <f t="shared" si="24"/>
        <v>7</v>
      </c>
      <c r="V12" s="3" t="str">
        <f t="shared" si="1"/>
        <v>07</v>
      </c>
      <c r="W12" s="3" t="str">
        <f t="shared" si="11"/>
        <v>X</v>
      </c>
      <c r="X12" s="3" t="str">
        <f t="shared" si="12"/>
        <v>X</v>
      </c>
      <c r="Y12" s="3" t="str">
        <f t="shared" si="13"/>
        <v>X</v>
      </c>
      <c r="Z12" s="3" t="str">
        <f t="shared" si="14"/>
        <v>X</v>
      </c>
      <c r="AA12" s="3" t="str">
        <f t="shared" si="25"/>
        <v>(31 downto 24)</v>
      </c>
      <c r="AB12" s="3" t="str">
        <f t="shared" si="26"/>
        <v>(23 downto 16)</v>
      </c>
      <c r="AC12" s="3" t="str">
        <f t="shared" si="27"/>
        <v>(15 downto 8)</v>
      </c>
      <c r="AD12" s="3" t="str">
        <f t="shared" si="28"/>
        <v>(7 downto 0)</v>
      </c>
      <c r="AE12" s="3" t="str">
        <f t="shared" si="29"/>
        <v>(31 downto 24)</v>
      </c>
      <c r="AF12" s="3" t="str">
        <f t="shared" si="30"/>
        <v>(23 downto 16)</v>
      </c>
      <c r="AG12" s="3" t="str">
        <f t="shared" si="31"/>
        <v>(15 downto 8)</v>
      </c>
      <c r="AH12" s="3" t="str">
        <f t="shared" si="32"/>
        <v>(7 downto 0)</v>
      </c>
    </row>
    <row r="13" spans="1:35" x14ac:dyDescent="0.25">
      <c r="B13" s="3" t="s">
        <v>265</v>
      </c>
      <c r="C13" s="3" t="s">
        <v>216</v>
      </c>
      <c r="D13" s="3" t="s">
        <v>1</v>
      </c>
      <c r="E13" s="3" t="s">
        <v>136</v>
      </c>
      <c r="F13" s="3" t="s">
        <v>269</v>
      </c>
      <c r="G13" s="3" t="s">
        <v>270</v>
      </c>
      <c r="H13" s="3" t="s">
        <v>217</v>
      </c>
      <c r="I13" s="3" t="s">
        <v>42</v>
      </c>
      <c r="J13" s="3">
        <v>32</v>
      </c>
      <c r="K13" s="8" t="s">
        <v>127</v>
      </c>
      <c r="L13" s="8" t="s">
        <v>41</v>
      </c>
      <c r="M13" s="3" t="s">
        <v>150</v>
      </c>
      <c r="N13" s="3" t="s">
        <v>277</v>
      </c>
      <c r="O13" s="3" t="s">
        <v>218</v>
      </c>
      <c r="P13" s="3" t="s">
        <v>49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32</v>
      </c>
      <c r="T13" s="3" t="str">
        <f t="shared" si="0"/>
        <v>020</v>
      </c>
      <c r="U13" s="3">
        <f t="shared" si="24"/>
        <v>8</v>
      </c>
      <c r="V13" s="3" t="str">
        <f t="shared" si="1"/>
        <v>08</v>
      </c>
      <c r="W13" s="3" t="str">
        <f t="shared" si="11"/>
        <v>X</v>
      </c>
      <c r="X13" s="3" t="str">
        <f t="shared" si="12"/>
        <v>X</v>
      </c>
      <c r="Y13" s="3" t="str">
        <f t="shared" si="13"/>
        <v>X</v>
      </c>
      <c r="Z13" s="3" t="str">
        <f t="shared" si="14"/>
        <v>X</v>
      </c>
      <c r="AA13" s="3" t="str">
        <f t="shared" si="25"/>
        <v>(31 downto 24)</v>
      </c>
      <c r="AB13" s="3" t="str">
        <f t="shared" si="26"/>
        <v>(23 downto 16)</v>
      </c>
      <c r="AC13" s="3" t="str">
        <f t="shared" si="27"/>
        <v>(15 downto 8)</v>
      </c>
      <c r="AD13" s="3" t="str">
        <f t="shared" si="28"/>
        <v>(7 downto 0)</v>
      </c>
      <c r="AE13" s="3" t="str">
        <f t="shared" si="29"/>
        <v>(31 downto 24)</v>
      </c>
      <c r="AF13" s="3" t="str">
        <f t="shared" si="30"/>
        <v>(23 downto 16)</v>
      </c>
      <c r="AG13" s="3" t="str">
        <f t="shared" si="31"/>
        <v>(15 downto 8)</v>
      </c>
      <c r="AH13" s="3" t="str">
        <f t="shared" si="32"/>
        <v>(7 downto 0)</v>
      </c>
    </row>
    <row r="14" spans="1:35" x14ac:dyDescent="0.25">
      <c r="B14" s="3" t="s">
        <v>265</v>
      </c>
      <c r="C14" s="3" t="s">
        <v>219</v>
      </c>
      <c r="D14" s="3" t="s">
        <v>1</v>
      </c>
      <c r="E14" s="3" t="s">
        <v>136</v>
      </c>
      <c r="F14" s="3" t="s">
        <v>269</v>
      </c>
      <c r="G14" s="3" t="s">
        <v>270</v>
      </c>
      <c r="H14" s="3" t="s">
        <v>220</v>
      </c>
      <c r="I14" s="3" t="s">
        <v>42</v>
      </c>
      <c r="J14" s="3">
        <v>32</v>
      </c>
      <c r="K14" s="8" t="s">
        <v>127</v>
      </c>
      <c r="L14" s="8" t="s">
        <v>41</v>
      </c>
      <c r="M14" s="3" t="s">
        <v>150</v>
      </c>
      <c r="N14" s="3" t="s">
        <v>277</v>
      </c>
      <c r="O14" s="3" t="s">
        <v>221</v>
      </c>
      <c r="P14" s="3" t="s">
        <v>49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36</v>
      </c>
      <c r="T14" s="3" t="str">
        <f t="shared" si="0"/>
        <v>024</v>
      </c>
      <c r="U14" s="3">
        <f t="shared" si="24"/>
        <v>9</v>
      </c>
      <c r="V14" s="3" t="str">
        <f t="shared" si="1"/>
        <v>09</v>
      </c>
      <c r="W14" s="3" t="str">
        <f t="shared" si="11"/>
        <v>X</v>
      </c>
      <c r="X14" s="3" t="str">
        <f t="shared" si="12"/>
        <v>X</v>
      </c>
      <c r="Y14" s="3" t="str">
        <f t="shared" si="13"/>
        <v>X</v>
      </c>
      <c r="Z14" s="3" t="str">
        <f t="shared" si="14"/>
        <v>X</v>
      </c>
      <c r="AA14" s="3" t="str">
        <f t="shared" si="25"/>
        <v>(31 downto 24)</v>
      </c>
      <c r="AB14" s="3" t="str">
        <f t="shared" si="26"/>
        <v>(23 downto 16)</v>
      </c>
      <c r="AC14" s="3" t="str">
        <f t="shared" si="27"/>
        <v>(15 downto 8)</v>
      </c>
      <c r="AD14" s="3" t="str">
        <f t="shared" si="28"/>
        <v>(7 downto 0)</v>
      </c>
      <c r="AE14" s="3" t="str">
        <f t="shared" si="29"/>
        <v>(31 downto 24)</v>
      </c>
      <c r="AF14" s="3" t="str">
        <f t="shared" si="30"/>
        <v>(23 downto 16)</v>
      </c>
      <c r="AG14" s="3" t="str">
        <f t="shared" si="31"/>
        <v>(15 downto 8)</v>
      </c>
      <c r="AH14" s="3" t="str">
        <f t="shared" si="32"/>
        <v>(7 downto 0)</v>
      </c>
    </row>
    <row r="15" spans="1:35" x14ac:dyDescent="0.25">
      <c r="B15" s="3" t="s">
        <v>265</v>
      </c>
      <c r="C15" s="3" t="s">
        <v>222</v>
      </c>
      <c r="D15" s="3" t="s">
        <v>1</v>
      </c>
      <c r="E15" s="3" t="s">
        <v>136</v>
      </c>
      <c r="F15" s="3" t="s">
        <v>269</v>
      </c>
      <c r="G15" s="3" t="s">
        <v>270</v>
      </c>
      <c r="H15" s="3" t="s">
        <v>223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150</v>
      </c>
      <c r="N15" s="3" t="s">
        <v>277</v>
      </c>
      <c r="O15" s="3" t="s">
        <v>224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40</v>
      </c>
      <c r="T15" s="3" t="str">
        <f t="shared" si="0"/>
        <v>028</v>
      </c>
      <c r="U15" s="3">
        <f t="shared" si="24"/>
        <v>10</v>
      </c>
      <c r="V15" s="3" t="str">
        <f t="shared" si="1"/>
        <v>0A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265</v>
      </c>
      <c r="C16" s="3" t="s">
        <v>225</v>
      </c>
      <c r="D16" s="3" t="s">
        <v>1</v>
      </c>
      <c r="E16" s="3" t="s">
        <v>136</v>
      </c>
      <c r="F16" s="3" t="s">
        <v>269</v>
      </c>
      <c r="G16" s="3" t="s">
        <v>270</v>
      </c>
      <c r="H16" s="3" t="s">
        <v>226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150</v>
      </c>
      <c r="N16" s="3" t="s">
        <v>277</v>
      </c>
      <c r="O16" s="3" t="s">
        <v>227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44</v>
      </c>
      <c r="T16" s="3" t="str">
        <f t="shared" si="0"/>
        <v>02C</v>
      </c>
      <c r="U16" s="3">
        <f t="shared" si="24"/>
        <v>11</v>
      </c>
      <c r="V16" s="3" t="str">
        <f t="shared" si="1"/>
        <v>0B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267</v>
      </c>
      <c r="C17" s="3" t="s">
        <v>243</v>
      </c>
      <c r="D17" s="3" t="s">
        <v>0</v>
      </c>
      <c r="E17" s="3" t="s">
        <v>137</v>
      </c>
      <c r="F17" s="3" t="s">
        <v>273</v>
      </c>
      <c r="G17" s="3" t="s">
        <v>274</v>
      </c>
      <c r="H17" s="3" t="s">
        <v>244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150</v>
      </c>
      <c r="N17" s="3" t="s">
        <v>279</v>
      </c>
      <c r="O17" s="3" t="s">
        <v>245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48</v>
      </c>
      <c r="T17" s="3" t="str">
        <f t="shared" si="0"/>
        <v>030</v>
      </c>
      <c r="U17" s="3">
        <f t="shared" si="24"/>
        <v>12</v>
      </c>
      <c r="V17" s="3" t="str">
        <f t="shared" si="1"/>
        <v>0C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266</v>
      </c>
      <c r="C18" s="3" t="s">
        <v>228</v>
      </c>
      <c r="D18" s="3" t="s">
        <v>1</v>
      </c>
      <c r="E18" s="3" t="s">
        <v>136</v>
      </c>
      <c r="F18" s="3" t="s">
        <v>271</v>
      </c>
      <c r="G18" s="3" t="s">
        <v>272</v>
      </c>
      <c r="H18" s="3" t="s">
        <v>229</v>
      </c>
      <c r="I18" s="3" t="s">
        <v>42</v>
      </c>
      <c r="J18" s="3">
        <v>32</v>
      </c>
      <c r="K18" s="3" t="s">
        <v>127</v>
      </c>
      <c r="L18" s="3" t="s">
        <v>41</v>
      </c>
      <c r="M18" s="3" t="s">
        <v>150</v>
      </c>
      <c r="N18" s="3" t="s">
        <v>278</v>
      </c>
      <c r="O18" s="3" t="s">
        <v>230</v>
      </c>
      <c r="P18" s="3" t="s">
        <v>49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52</v>
      </c>
      <c r="T18" s="3" t="str">
        <f t="shared" si="0"/>
        <v>034</v>
      </c>
      <c r="U18" s="3">
        <f t="shared" si="24"/>
        <v>13</v>
      </c>
      <c r="V18" s="3" t="str">
        <f t="shared" si="1"/>
        <v>0D</v>
      </c>
      <c r="W18" s="3" t="str">
        <f t="shared" si="11"/>
        <v>X</v>
      </c>
      <c r="X18" s="3" t="str">
        <f t="shared" si="12"/>
        <v>X</v>
      </c>
      <c r="Y18" s="3" t="str">
        <f t="shared" si="13"/>
        <v>X</v>
      </c>
      <c r="Z18" s="3" t="str">
        <f t="shared" si="14"/>
        <v>X</v>
      </c>
      <c r="AA18" s="3" t="str">
        <f t="shared" si="25"/>
        <v>(31 downto 24)</v>
      </c>
      <c r="AB18" s="3" t="str">
        <f t="shared" si="26"/>
        <v>(23 downto 16)</v>
      </c>
      <c r="AC18" s="3" t="str">
        <f t="shared" si="27"/>
        <v>(15 downto 8)</v>
      </c>
      <c r="AD18" s="3" t="str">
        <f t="shared" si="28"/>
        <v>(7 downto 0)</v>
      </c>
      <c r="AE18" s="3" t="str">
        <f t="shared" si="29"/>
        <v>(31 downto 24)</v>
      </c>
      <c r="AF18" s="3" t="str">
        <f t="shared" si="30"/>
        <v>(23 downto 16)</v>
      </c>
      <c r="AG18" s="3" t="str">
        <f t="shared" si="31"/>
        <v>(15 downto 8)</v>
      </c>
      <c r="AH18" s="3" t="str">
        <f t="shared" si="32"/>
        <v>(7 downto 0)</v>
      </c>
    </row>
    <row r="19" spans="2:34" x14ac:dyDescent="0.25">
      <c r="B19" s="3" t="s">
        <v>266</v>
      </c>
      <c r="C19" s="3" t="s">
        <v>231</v>
      </c>
      <c r="D19" s="3" t="s">
        <v>1</v>
      </c>
      <c r="E19" s="3" t="s">
        <v>136</v>
      </c>
      <c r="F19" s="3" t="s">
        <v>271</v>
      </c>
      <c r="G19" s="3" t="s">
        <v>272</v>
      </c>
      <c r="H19" s="3" t="s">
        <v>232</v>
      </c>
      <c r="I19" s="3" t="s">
        <v>42</v>
      </c>
      <c r="J19" s="3">
        <v>32</v>
      </c>
      <c r="K19" s="3" t="s">
        <v>127</v>
      </c>
      <c r="L19" s="3" t="s">
        <v>41</v>
      </c>
      <c r="M19" s="3" t="s">
        <v>150</v>
      </c>
      <c r="N19" s="3" t="s">
        <v>278</v>
      </c>
      <c r="O19" s="3" t="s">
        <v>233</v>
      </c>
      <c r="P19" s="3" t="s">
        <v>49</v>
      </c>
      <c r="Q19" s="3">
        <f>INDEX(Tables!$C$4:$C$29,MATCH($P19,Tables!$B$4:$B$29,0))</f>
        <v>32</v>
      </c>
      <c r="R19" s="3">
        <f>INDEX(Tables!$D$4:$D$29,MATCH($P19,Tables!$B$4:$B$29,0))</f>
        <v>4</v>
      </c>
      <c r="S19" s="3">
        <f>$S18+$R18+INDEX(Tables!$N$5:$Q$8,MATCH(MOD($S18+$R18,4),Tables!$M$5:$M$8,0),MATCH($R19,Tables!$N$4:$Q$4,0))</f>
        <v>56</v>
      </c>
      <c r="T19" s="3" t="str">
        <f t="shared" si="0"/>
        <v>038</v>
      </c>
      <c r="U19" s="3">
        <f t="shared" si="24"/>
        <v>14</v>
      </c>
      <c r="V19" s="3" t="str">
        <f t="shared" si="1"/>
        <v>0E</v>
      </c>
      <c r="W19" s="3" t="str">
        <f t="shared" si="11"/>
        <v>X</v>
      </c>
      <c r="X19" s="3" t="str">
        <f t="shared" si="12"/>
        <v>X</v>
      </c>
      <c r="Y19" s="3" t="str">
        <f t="shared" si="13"/>
        <v>X</v>
      </c>
      <c r="Z19" s="3" t="str">
        <f t="shared" si="14"/>
        <v>X</v>
      </c>
      <c r="AA19" s="3" t="str">
        <f t="shared" si="25"/>
        <v>(31 downto 24)</v>
      </c>
      <c r="AB19" s="3" t="str">
        <f t="shared" si="26"/>
        <v>(23 downto 16)</v>
      </c>
      <c r="AC19" s="3" t="str">
        <f t="shared" si="27"/>
        <v>(15 downto 8)</v>
      </c>
      <c r="AD19" s="3" t="str">
        <f t="shared" si="28"/>
        <v>(7 downto 0)</v>
      </c>
      <c r="AE19" s="3" t="str">
        <f t="shared" si="29"/>
        <v>(31 downto 24)</v>
      </c>
      <c r="AF19" s="3" t="str">
        <f t="shared" si="30"/>
        <v>(23 downto 16)</v>
      </c>
      <c r="AG19" s="3" t="str">
        <f t="shared" si="31"/>
        <v>(15 downto 8)</v>
      </c>
      <c r="AH19" s="3" t="str">
        <f t="shared" si="32"/>
        <v>(7 downto 0)</v>
      </c>
    </row>
    <row r="20" spans="2:34" x14ac:dyDescent="0.25">
      <c r="B20" s="3" t="s">
        <v>266</v>
      </c>
      <c r="C20" s="3" t="s">
        <v>234</v>
      </c>
      <c r="D20" s="3" t="s">
        <v>1</v>
      </c>
      <c r="E20" s="3" t="s">
        <v>136</v>
      </c>
      <c r="F20" s="3" t="s">
        <v>271</v>
      </c>
      <c r="G20" s="3" t="s">
        <v>272</v>
      </c>
      <c r="H20" s="3" t="s">
        <v>235</v>
      </c>
      <c r="I20" s="3" t="s">
        <v>42</v>
      </c>
      <c r="J20" s="3">
        <v>32</v>
      </c>
      <c r="K20" s="3" t="s">
        <v>127</v>
      </c>
      <c r="L20" s="3" t="s">
        <v>41</v>
      </c>
      <c r="M20" s="3" t="s">
        <v>150</v>
      </c>
      <c r="N20" s="3" t="s">
        <v>278</v>
      </c>
      <c r="O20" s="3" t="s">
        <v>236</v>
      </c>
      <c r="P20" s="3" t="s">
        <v>49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24"/>
        <v>15</v>
      </c>
      <c r="V20" s="3" t="str">
        <f t="shared" si="1"/>
        <v>0F</v>
      </c>
      <c r="W20" s="3" t="str">
        <f t="shared" si="11"/>
        <v>X</v>
      </c>
      <c r="X20" s="3" t="str">
        <f t="shared" si="12"/>
        <v>X</v>
      </c>
      <c r="Y20" s="3" t="str">
        <f t="shared" si="13"/>
        <v>X</v>
      </c>
      <c r="Z20" s="3" t="str">
        <f t="shared" si="14"/>
        <v>X</v>
      </c>
      <c r="AA20" s="3" t="str">
        <f t="shared" si="25"/>
        <v>(31 downto 24)</v>
      </c>
      <c r="AB20" s="3" t="str">
        <f t="shared" si="26"/>
        <v>(23 downto 16)</v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>(31 downto 24)</v>
      </c>
      <c r="AF20" s="3" t="str">
        <f t="shared" si="30"/>
        <v>(23 downto 16)</v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266</v>
      </c>
      <c r="C21" s="3" t="s">
        <v>237</v>
      </c>
      <c r="D21" s="3" t="s">
        <v>1</v>
      </c>
      <c r="E21" s="3" t="s">
        <v>136</v>
      </c>
      <c r="F21" s="3" t="s">
        <v>271</v>
      </c>
      <c r="G21" s="3" t="s">
        <v>272</v>
      </c>
      <c r="H21" s="3" t="s">
        <v>238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150</v>
      </c>
      <c r="N21" s="3" t="s">
        <v>278</v>
      </c>
      <c r="O21" s="3" t="s">
        <v>239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266</v>
      </c>
      <c r="C22" s="3" t="s">
        <v>240</v>
      </c>
      <c r="D22" s="3" t="s">
        <v>1</v>
      </c>
      <c r="E22" s="3" t="s">
        <v>136</v>
      </c>
      <c r="F22" s="3" t="s">
        <v>271</v>
      </c>
      <c r="G22" s="3" t="s">
        <v>272</v>
      </c>
      <c r="H22" s="3" t="s">
        <v>241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150</v>
      </c>
      <c r="N22" s="3" t="s">
        <v>278</v>
      </c>
      <c r="O22" s="3" t="s">
        <v>242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268</v>
      </c>
      <c r="C23" s="3" t="s">
        <v>246</v>
      </c>
      <c r="D23" s="3" t="s">
        <v>0</v>
      </c>
      <c r="E23" s="3" t="s">
        <v>137</v>
      </c>
      <c r="F23" s="3" t="s">
        <v>275</v>
      </c>
      <c r="G23" s="3" t="s">
        <v>276</v>
      </c>
      <c r="H23" s="3" t="s">
        <v>247</v>
      </c>
      <c r="I23" s="3" t="s">
        <v>42</v>
      </c>
      <c r="J23" s="3">
        <v>1</v>
      </c>
      <c r="K23" s="3" t="s">
        <v>82</v>
      </c>
      <c r="L23" s="3" t="s">
        <v>41</v>
      </c>
      <c r="M23" s="3" t="s">
        <v>150</v>
      </c>
      <c r="N23" s="3" t="s">
        <v>280</v>
      </c>
      <c r="O23" s="3" t="s">
        <v>248</v>
      </c>
      <c r="P23" s="3" t="s">
        <v>5</v>
      </c>
      <c r="Q23" s="3">
        <f>INDEX(Tables!$C$4:$C$29,MATCH($P23,Tables!$B$4:$B$29,0))</f>
        <v>32</v>
      </c>
      <c r="R23" s="3">
        <f>INDEX(Tables!$D$4:$D$29,MATCH($P23,Tables!$B$4:$B$29,0))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K24" s="8"/>
      <c r="L24" s="8"/>
      <c r="AA24" s="3"/>
      <c r="AB24" s="3"/>
      <c r="AC24" s="3"/>
      <c r="AD24" s="3"/>
      <c r="AE24" s="3"/>
      <c r="AF24" s="3"/>
      <c r="AG24" s="3"/>
      <c r="AH24" s="3"/>
    </row>
    <row r="25" spans="2:34" x14ac:dyDescent="0.25">
      <c r="L25" s="8"/>
      <c r="AA25" s="3"/>
      <c r="AB25" s="3"/>
      <c r="AC25" s="3"/>
      <c r="AD25" s="3"/>
      <c r="AE25" s="3"/>
      <c r="AF25" s="3"/>
      <c r="AG25" s="3"/>
      <c r="AH25" s="3"/>
    </row>
    <row r="26" spans="2:34" x14ac:dyDescent="0.25">
      <c r="K26" s="8"/>
      <c r="L26" s="8"/>
      <c r="AA26" s="3"/>
      <c r="AB26" s="3"/>
      <c r="AC26" s="3"/>
      <c r="AD26" s="3"/>
      <c r="AE26" s="3"/>
      <c r="AF26" s="3"/>
      <c r="AG26" s="3"/>
      <c r="AH26" s="3"/>
    </row>
    <row r="27" spans="2:34" x14ac:dyDescent="0.25">
      <c r="K27" s="8"/>
      <c r="L27" s="8"/>
      <c r="AA27" s="3"/>
      <c r="AB27" s="3"/>
      <c r="AC27" s="3"/>
      <c r="AD27" s="3"/>
      <c r="AE27" s="3"/>
      <c r="AF27" s="3"/>
      <c r="AG27" s="3"/>
      <c r="AH27" s="3"/>
    </row>
    <row r="28" spans="2:34" x14ac:dyDescent="0.25">
      <c r="K28" s="8"/>
      <c r="L28" s="8"/>
      <c r="AA28" s="3"/>
      <c r="AB28" s="3"/>
      <c r="AC28" s="3"/>
      <c r="AD28" s="3"/>
      <c r="AE28" s="3"/>
      <c r="AF28" s="3"/>
      <c r="AG28" s="3"/>
      <c r="AH28" s="3"/>
    </row>
    <row r="29" spans="2:34" x14ac:dyDescent="0.25">
      <c r="K29" s="8"/>
      <c r="L29" s="8"/>
      <c r="AA29" s="3"/>
      <c r="AB29" s="3"/>
      <c r="AC29" s="3"/>
      <c r="AD29" s="3"/>
      <c r="AE29" s="3"/>
      <c r="AF29" s="3"/>
      <c r="AG29" s="3"/>
      <c r="AH29" s="3"/>
    </row>
    <row r="30" spans="2:34" x14ac:dyDescent="0.25">
      <c r="K30" s="8"/>
      <c r="L30" s="8"/>
      <c r="AA30" s="3"/>
      <c r="AB30" s="3"/>
      <c r="AC30" s="3"/>
      <c r="AD30" s="3"/>
      <c r="AE30" s="3"/>
      <c r="AF30" s="3"/>
      <c r="AG30" s="3"/>
      <c r="AH30" s="3"/>
    </row>
    <row r="31" spans="2:34" x14ac:dyDescent="0.25">
      <c r="K31" s="8"/>
      <c r="L31" s="8"/>
      <c r="AA31" s="3"/>
      <c r="AB31" s="3"/>
      <c r="AC31" s="3"/>
      <c r="AD31" s="3"/>
      <c r="AE31" s="3"/>
      <c r="AF31" s="3"/>
      <c r="AG31" s="3"/>
      <c r="AH31" s="3"/>
    </row>
    <row r="32" spans="2:34" x14ac:dyDescent="0.25">
      <c r="K32" s="8"/>
      <c r="L32" s="8"/>
      <c r="AA32" s="3"/>
      <c r="AB32" s="3"/>
      <c r="AC32" s="3"/>
      <c r="AD32" s="3"/>
      <c r="AE32" s="3"/>
      <c r="AF32" s="3"/>
      <c r="AG32" s="3"/>
      <c r="AH32" s="3"/>
    </row>
    <row r="33" spans="11:34" x14ac:dyDescent="0.25">
      <c r="K33" s="8"/>
      <c r="L33" s="8"/>
      <c r="AA33" s="3"/>
      <c r="AB33" s="3"/>
      <c r="AC33" s="3"/>
      <c r="AD33" s="3"/>
      <c r="AE33" s="3"/>
      <c r="AF33" s="3"/>
      <c r="AG33" s="3"/>
      <c r="AH33" s="3"/>
    </row>
    <row r="34" spans="11:34" x14ac:dyDescent="0.25">
      <c r="K34" s="8"/>
      <c r="L34" s="8"/>
      <c r="AA34" s="3"/>
      <c r="AB34" s="3"/>
      <c r="AC34" s="3"/>
      <c r="AD34" s="3"/>
      <c r="AE34" s="3"/>
      <c r="AF34" s="3"/>
      <c r="AG34" s="3"/>
      <c r="AH34" s="3"/>
    </row>
    <row r="35" spans="11:34" x14ac:dyDescent="0.25">
      <c r="K35" s="8"/>
      <c r="L35" s="8"/>
      <c r="AA35" s="3"/>
      <c r="AB35" s="3"/>
      <c r="AC35" s="3"/>
      <c r="AD35" s="3"/>
      <c r="AE35" s="3"/>
      <c r="AF35" s="3"/>
      <c r="AG35" s="3"/>
      <c r="AH35" s="3"/>
    </row>
    <row r="36" spans="11:34" x14ac:dyDescent="0.25">
      <c r="K36" s="8"/>
      <c r="L36" s="8"/>
      <c r="AA36" s="3"/>
      <c r="AB36" s="3"/>
      <c r="AC36" s="3"/>
      <c r="AD36" s="3"/>
      <c r="AE36" s="3"/>
      <c r="AF36" s="3"/>
      <c r="AG36" s="3"/>
      <c r="AH36" s="3"/>
    </row>
    <row r="37" spans="11:34" x14ac:dyDescent="0.25">
      <c r="K37" s="8"/>
      <c r="L37" s="8"/>
      <c r="AA37" s="3"/>
      <c r="AB37" s="3"/>
      <c r="AC37" s="3"/>
      <c r="AD37" s="3"/>
      <c r="AE37" s="3"/>
      <c r="AF37" s="3"/>
      <c r="AG37" s="3"/>
      <c r="AH37" s="3"/>
    </row>
    <row r="38" spans="11:34" x14ac:dyDescent="0.25">
      <c r="K38" s="8"/>
      <c r="L38" s="8"/>
      <c r="AA38" s="3"/>
      <c r="AB38" s="3"/>
      <c r="AC38" s="3"/>
      <c r="AD38" s="3"/>
      <c r="AE38" s="3"/>
      <c r="AF38" s="3"/>
      <c r="AG38" s="3"/>
      <c r="AH38" s="3"/>
    </row>
    <row r="39" spans="11:34" x14ac:dyDescent="0.25">
      <c r="K39" s="8"/>
      <c r="L39" s="8"/>
      <c r="AA39" s="3"/>
      <c r="AB39" s="3"/>
      <c r="AC39" s="3"/>
      <c r="AD39" s="3"/>
      <c r="AE39" s="3"/>
      <c r="AF39" s="3"/>
      <c r="AG39" s="3"/>
      <c r="AH39" s="3"/>
    </row>
    <row r="40" spans="11:34" x14ac:dyDescent="0.25">
      <c r="K40" s="8"/>
      <c r="L40" s="8"/>
      <c r="AA40" s="3"/>
      <c r="AB40" s="3"/>
      <c r="AC40" s="3"/>
      <c r="AD40" s="3"/>
      <c r="AE40" s="3"/>
      <c r="AF40" s="3"/>
      <c r="AG40" s="3"/>
      <c r="AH40" s="3"/>
    </row>
    <row r="41" spans="11:34" x14ac:dyDescent="0.25">
      <c r="K41" s="8"/>
      <c r="L41" s="8"/>
      <c r="AA41" s="3"/>
      <c r="AB41" s="3"/>
      <c r="AC41" s="3"/>
      <c r="AD41" s="3"/>
      <c r="AE41" s="3"/>
      <c r="AF41" s="3"/>
      <c r="AG41" s="3"/>
      <c r="AH41" s="3"/>
    </row>
    <row r="42" spans="11:34" x14ac:dyDescent="0.25">
      <c r="K42" s="8"/>
      <c r="L42" s="8"/>
      <c r="AA42" s="3"/>
      <c r="AB42" s="3"/>
      <c r="AC42" s="3"/>
      <c r="AD42" s="3"/>
      <c r="AE42" s="3"/>
      <c r="AF42" s="3"/>
      <c r="AG42" s="3"/>
      <c r="AH42" s="3"/>
    </row>
    <row r="43" spans="11:34" x14ac:dyDescent="0.25">
      <c r="K43" s="8"/>
      <c r="L43" s="8"/>
      <c r="AA43" s="3"/>
      <c r="AB43" s="3"/>
      <c r="AC43" s="3"/>
      <c r="AD43" s="3"/>
      <c r="AE43" s="3"/>
      <c r="AF43" s="3"/>
      <c r="AG43" s="3"/>
      <c r="AH43" s="3"/>
    </row>
    <row r="44" spans="11:34" x14ac:dyDescent="0.25">
      <c r="K44" s="8"/>
      <c r="L44" s="8"/>
      <c r="AA44" s="3"/>
      <c r="AB44" s="3"/>
      <c r="AC44" s="3"/>
      <c r="AD44" s="3"/>
      <c r="AE44" s="3"/>
      <c r="AF44" s="3"/>
      <c r="AG44" s="3"/>
      <c r="AH44" s="3"/>
    </row>
    <row r="45" spans="11:34" x14ac:dyDescent="0.25">
      <c r="K45" s="8"/>
      <c r="L45" s="8"/>
      <c r="AA45" s="3"/>
      <c r="AB45" s="3"/>
      <c r="AC45" s="3"/>
      <c r="AD45" s="3"/>
      <c r="AE45" s="3"/>
      <c r="AF45" s="3"/>
      <c r="AG45" s="3"/>
      <c r="AH45" s="3"/>
    </row>
    <row r="46" spans="11:34" x14ac:dyDescent="0.25">
      <c r="K46" s="8"/>
      <c r="L46" s="8"/>
      <c r="AA46" s="3"/>
      <c r="AB46" s="3"/>
      <c r="AC46" s="3"/>
      <c r="AD46" s="3"/>
      <c r="AE46" s="3"/>
      <c r="AF46" s="3"/>
      <c r="AG46" s="3"/>
      <c r="AH46" s="3"/>
    </row>
    <row r="47" spans="11:34" x14ac:dyDescent="0.25">
      <c r="K47" s="8"/>
      <c r="L47" s="8"/>
      <c r="AA47" s="3"/>
      <c r="AB47" s="3"/>
      <c r="AC47" s="3"/>
      <c r="AD47" s="3"/>
      <c r="AE47" s="3"/>
      <c r="AF47" s="3"/>
      <c r="AG47" s="3"/>
      <c r="AH47" s="3"/>
    </row>
    <row r="48" spans="11:34" x14ac:dyDescent="0.25">
      <c r="K48" s="8"/>
      <c r="L48" s="8"/>
      <c r="AA48" s="3"/>
      <c r="AB48" s="3"/>
      <c r="AC48" s="3"/>
      <c r="AD48" s="3"/>
      <c r="AE48" s="3"/>
      <c r="AF48" s="3"/>
      <c r="AG48" s="3"/>
      <c r="AH48" s="3"/>
    </row>
    <row r="49" spans="11:34" x14ac:dyDescent="0.25">
      <c r="K49" s="8"/>
      <c r="L49" s="8"/>
      <c r="AA49" s="3"/>
      <c r="AB49" s="3"/>
      <c r="AC49" s="3"/>
      <c r="AD49" s="3"/>
      <c r="AE49" s="3"/>
      <c r="AF49" s="3"/>
      <c r="AG49" s="3"/>
      <c r="AH49" s="3"/>
    </row>
    <row r="50" spans="11:34" x14ac:dyDescent="0.25">
      <c r="K50" s="8"/>
      <c r="L50" s="8"/>
      <c r="AA50" s="3"/>
      <c r="AB50" s="3"/>
      <c r="AC50" s="3"/>
      <c r="AD50" s="3"/>
      <c r="AE50" s="3"/>
      <c r="AF50" s="3"/>
      <c r="AG50" s="3"/>
      <c r="AH50" s="3"/>
    </row>
    <row r="51" spans="11:34" x14ac:dyDescent="0.25">
      <c r="K51" s="8"/>
      <c r="L51" s="8"/>
      <c r="AA51" s="3"/>
      <c r="AB51" s="3"/>
      <c r="AC51" s="3"/>
      <c r="AD51" s="3"/>
      <c r="AE51" s="3"/>
      <c r="AF51" s="3"/>
      <c r="AG51" s="3"/>
      <c r="AH51" s="3"/>
    </row>
    <row r="52" spans="11:34" x14ac:dyDescent="0.25">
      <c r="K52" s="8"/>
      <c r="L52" s="8"/>
      <c r="AA52" s="3"/>
      <c r="AB52" s="3"/>
      <c r="AC52" s="3"/>
      <c r="AD52" s="3"/>
      <c r="AE52" s="3"/>
      <c r="AF52" s="3"/>
      <c r="AG52" s="3"/>
      <c r="AH52" s="3"/>
    </row>
    <row r="53" spans="11:34" x14ac:dyDescent="0.25">
      <c r="K53" s="8"/>
      <c r="L53" s="8"/>
      <c r="AA53" s="3"/>
      <c r="AB53" s="3"/>
      <c r="AC53" s="3"/>
      <c r="AD53" s="3"/>
      <c r="AE53" s="3"/>
      <c r="AF53" s="3"/>
      <c r="AG53" s="3"/>
      <c r="AH53" s="3"/>
    </row>
    <row r="54" spans="11:34" x14ac:dyDescent="0.25">
      <c r="K54" s="8"/>
      <c r="L54" s="8"/>
      <c r="AA54" s="3"/>
      <c r="AB54" s="3"/>
      <c r="AC54" s="3"/>
      <c r="AD54" s="3"/>
      <c r="AE54" s="3"/>
      <c r="AF54" s="3"/>
      <c r="AG54" s="3"/>
      <c r="AH54" s="3"/>
    </row>
    <row r="55" spans="11:34" x14ac:dyDescent="0.25">
      <c r="K55" s="8"/>
      <c r="L55" s="8"/>
      <c r="AA55" s="3"/>
      <c r="AB55" s="3"/>
      <c r="AC55" s="3"/>
      <c r="AD55" s="3"/>
      <c r="AE55" s="3"/>
      <c r="AF55" s="3"/>
      <c r="AG55" s="3"/>
      <c r="AH55" s="3"/>
    </row>
    <row r="65" spans="11:34" x14ac:dyDescent="0.25">
      <c r="K65" s="8"/>
      <c r="L65" s="8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L67" s="8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L68" s="8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L69" s="8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L70" s="8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L71" s="8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L72" s="8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L73" s="8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L74" s="8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L75" s="8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8"/>
      <c r="L78" s="8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8"/>
      <c r="L79" s="8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8"/>
      <c r="L80" s="8"/>
      <c r="AA80" s="3"/>
      <c r="AB80" s="3"/>
      <c r="AC80" s="3"/>
      <c r="AD80" s="3"/>
      <c r="AE80" s="3"/>
      <c r="AF80" s="3"/>
      <c r="AG80" s="3"/>
      <c r="AH80" s="3"/>
    </row>
    <row r="81" spans="11:34" x14ac:dyDescent="0.25">
      <c r="K81" s="8"/>
      <c r="L81" s="8"/>
      <c r="AA81" s="3"/>
      <c r="AB81" s="3"/>
      <c r="AC81" s="3"/>
      <c r="AD81" s="3"/>
      <c r="AE81" s="3"/>
      <c r="AF81" s="3"/>
      <c r="AG81" s="3"/>
      <c r="AH81" s="3"/>
    </row>
    <row r="82" spans="11:34" x14ac:dyDescent="0.25">
      <c r="K82" s="8"/>
      <c r="L82" s="8"/>
      <c r="AA82" s="3"/>
      <c r="AB82" s="3"/>
      <c r="AC82" s="3"/>
      <c r="AD82" s="3"/>
      <c r="AE82" s="3"/>
      <c r="AF82" s="3"/>
      <c r="AG82" s="3"/>
      <c r="AH82" s="3"/>
    </row>
    <row r="83" spans="11:34" x14ac:dyDescent="0.25">
      <c r="K83" s="8"/>
      <c r="L83" s="8"/>
      <c r="AA83" s="3"/>
      <c r="AB83" s="3"/>
      <c r="AC83" s="3"/>
      <c r="AD83" s="3"/>
      <c r="AE83" s="3"/>
      <c r="AF83" s="3"/>
      <c r="AG83" s="3"/>
      <c r="AH83" s="3"/>
    </row>
    <row r="84" spans="11:34" x14ac:dyDescent="0.25">
      <c r="K84" s="8"/>
      <c r="L84" s="8"/>
      <c r="AA84" s="3"/>
      <c r="AB84" s="3"/>
      <c r="AC84" s="3"/>
      <c r="AD84" s="3"/>
      <c r="AE84" s="3"/>
      <c r="AF84" s="3"/>
      <c r="AG84" s="3"/>
      <c r="AH84" s="3"/>
    </row>
    <row r="85" spans="11:34" x14ac:dyDescent="0.25">
      <c r="K85" s="8"/>
      <c r="L85" s="8"/>
      <c r="AA85" s="3"/>
      <c r="AB85" s="3"/>
      <c r="AC85" s="3"/>
      <c r="AD85" s="3"/>
      <c r="AE85" s="3"/>
      <c r="AF85" s="3"/>
      <c r="AG85" s="3"/>
      <c r="AH85" s="3"/>
    </row>
    <row r="86" spans="11:34" x14ac:dyDescent="0.25">
      <c r="K86" s="8"/>
      <c r="L86" s="8"/>
      <c r="AA86" s="3"/>
      <c r="AB86" s="3"/>
      <c r="AC86" s="3"/>
      <c r="AD86" s="3"/>
      <c r="AE86" s="3"/>
      <c r="AF86" s="3"/>
      <c r="AG86" s="3"/>
      <c r="AH86" s="3"/>
    </row>
    <row r="87" spans="11:34" x14ac:dyDescent="0.25">
      <c r="K87" s="8"/>
      <c r="L87" s="8"/>
      <c r="AA87" s="3"/>
      <c r="AB87" s="3"/>
      <c r="AC87" s="3"/>
      <c r="AD87" s="3"/>
      <c r="AE87" s="3"/>
      <c r="AF87" s="3"/>
      <c r="AG87" s="3"/>
      <c r="AH87" s="3"/>
    </row>
    <row r="88" spans="11:34" x14ac:dyDescent="0.25">
      <c r="K88" s="8"/>
      <c r="L88" s="8"/>
      <c r="AA88" s="3"/>
      <c r="AB88" s="3"/>
      <c r="AC88" s="3"/>
      <c r="AD88" s="3"/>
      <c r="AE88" s="3"/>
      <c r="AF88" s="3"/>
      <c r="AG88" s="3"/>
      <c r="AH88" s="3"/>
    </row>
    <row r="89" spans="11:34" x14ac:dyDescent="0.25">
      <c r="K89" s="8"/>
      <c r="L89" s="8"/>
      <c r="AA89" s="3"/>
      <c r="AB89" s="3"/>
      <c r="AC89" s="3"/>
      <c r="AD89" s="3"/>
      <c r="AE89" s="3"/>
      <c r="AF89" s="3"/>
      <c r="AG89" s="3"/>
      <c r="AH89" s="3"/>
    </row>
    <row r="90" spans="11:34" x14ac:dyDescent="0.25">
      <c r="K90" s="8"/>
      <c r="L90" s="8"/>
      <c r="AA90" s="3"/>
      <c r="AB90" s="3"/>
      <c r="AC90" s="3"/>
      <c r="AD90" s="3"/>
      <c r="AE90" s="3"/>
      <c r="AF90" s="3"/>
      <c r="AG90" s="3"/>
      <c r="AH90" s="3"/>
    </row>
    <row r="91" spans="11:34" x14ac:dyDescent="0.25">
      <c r="K91" s="8"/>
      <c r="L91" s="8"/>
      <c r="AA91" s="3"/>
      <c r="AB91" s="3"/>
      <c r="AC91" s="3"/>
      <c r="AD91" s="3"/>
      <c r="AE91" s="3"/>
      <c r="AF91" s="3"/>
      <c r="AG91" s="3"/>
      <c r="AH91" s="3"/>
    </row>
    <row r="92" spans="11:34" x14ac:dyDescent="0.25">
      <c r="K92" s="8"/>
      <c r="L92" s="8"/>
      <c r="AA92" s="3"/>
      <c r="AB92" s="3"/>
      <c r="AC92" s="3"/>
      <c r="AD92" s="3"/>
      <c r="AE92" s="3"/>
      <c r="AF92" s="3"/>
      <c r="AG92" s="3"/>
      <c r="AH92" s="3"/>
    </row>
    <row r="112" spans="11:34" x14ac:dyDescent="0.25">
      <c r="K112" s="8"/>
      <c r="L112" s="8"/>
      <c r="AA112" s="3"/>
      <c r="AB112" s="3"/>
      <c r="AC112" s="3"/>
      <c r="AD112" s="3"/>
      <c r="AE112" s="3"/>
      <c r="AF112" s="3"/>
      <c r="AG112" s="3"/>
      <c r="AH112" s="3"/>
    </row>
    <row r="113" spans="11:34" x14ac:dyDescent="0.25">
      <c r="K113" s="8"/>
      <c r="L113" s="8"/>
      <c r="AA113" s="3"/>
      <c r="AB113" s="3"/>
      <c r="AC113" s="3"/>
      <c r="AD113" s="3"/>
      <c r="AE113" s="3"/>
      <c r="AF113" s="3"/>
      <c r="AG113" s="3"/>
      <c r="AH113" s="3"/>
    </row>
    <row r="114" spans="11:34" x14ac:dyDescent="0.25">
      <c r="K114" s="8"/>
      <c r="L114" s="8"/>
      <c r="AA114" s="3"/>
      <c r="AB114" s="3"/>
      <c r="AC114" s="3"/>
      <c r="AD114" s="3"/>
      <c r="AE114" s="3"/>
      <c r="AF114" s="3"/>
      <c r="AG114" s="3"/>
      <c r="AH114" s="3"/>
    </row>
    <row r="115" spans="11:34" x14ac:dyDescent="0.25">
      <c r="K115" s="8"/>
      <c r="L115" s="8"/>
      <c r="AA115" s="3"/>
      <c r="AB115" s="3"/>
      <c r="AC115" s="3"/>
      <c r="AD115" s="3"/>
      <c r="AE115" s="3"/>
      <c r="AF115" s="3"/>
      <c r="AG115" s="3"/>
      <c r="AH115" s="3"/>
    </row>
    <row r="116" spans="11:34" x14ac:dyDescent="0.25">
      <c r="K116" s="8"/>
      <c r="L116" s="8"/>
      <c r="AA116" s="3"/>
      <c r="AB116" s="3"/>
      <c r="AC116" s="3"/>
      <c r="AD116" s="3"/>
      <c r="AE116" s="3"/>
      <c r="AF116" s="3"/>
      <c r="AG116" s="3"/>
      <c r="AH116" s="3"/>
    </row>
    <row r="117" spans="11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11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11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11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11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11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11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11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11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11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11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11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ht="14.25" customHeight="1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</sheetData>
  <autoFilter ref="B3:AH11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135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8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155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156</v>
      </c>
      <c r="H6" t="s">
        <v>157</v>
      </c>
    </row>
    <row r="7" spans="2:8" x14ac:dyDescent="0.25">
      <c r="H7" t="s">
        <v>281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158</v>
      </c>
    </row>
    <row r="12" spans="2:8" x14ac:dyDescent="0.25">
      <c r="H12" t="s">
        <v>282</v>
      </c>
    </row>
    <row r="13" spans="2:8" x14ac:dyDescent="0.25">
      <c r="H13" t="s">
        <v>283</v>
      </c>
    </row>
    <row r="14" spans="2:8" x14ac:dyDescent="0.25">
      <c r="B14" s="27"/>
      <c r="H14" t="s">
        <v>284</v>
      </c>
    </row>
    <row r="15" spans="2:8" x14ac:dyDescent="0.25">
      <c r="H15" t="s">
        <v>285</v>
      </c>
    </row>
    <row r="17" spans="2:8" x14ac:dyDescent="0.25">
      <c r="B17" s="27"/>
      <c r="H17" t="s">
        <v>159</v>
      </c>
    </row>
    <row r="18" spans="2:8" x14ac:dyDescent="0.25">
      <c r="H18" t="s">
        <v>286</v>
      </c>
    </row>
    <row r="19" spans="2:8" x14ac:dyDescent="0.25">
      <c r="H19" t="s">
        <v>287</v>
      </c>
    </row>
    <row r="20" spans="2:8" x14ac:dyDescent="0.25">
      <c r="B20" s="27"/>
      <c r="H20" t="s">
        <v>288</v>
      </c>
    </row>
    <row r="21" spans="2:8" x14ac:dyDescent="0.25">
      <c r="H21" t="s">
        <v>289</v>
      </c>
    </row>
    <row r="23" spans="2:8" x14ac:dyDescent="0.25">
      <c r="H23" t="s">
        <v>160</v>
      </c>
    </row>
    <row r="24" spans="2:8" x14ac:dyDescent="0.25">
      <c r="H24" t="s">
        <v>290</v>
      </c>
    </row>
    <row r="25" spans="2:8" x14ac:dyDescent="0.25">
      <c r="H25" t="s">
        <v>291</v>
      </c>
    </row>
    <row r="26" spans="2:8" x14ac:dyDescent="0.25">
      <c r="H26" t="s">
        <v>292</v>
      </c>
    </row>
    <row r="28" spans="2:8" x14ac:dyDescent="0.25">
      <c r="H28" t="s">
        <v>161</v>
      </c>
    </row>
    <row r="29" spans="2:8" x14ac:dyDescent="0.25">
      <c r="H29" t="s">
        <v>293</v>
      </c>
    </row>
    <row r="30" spans="2:8" x14ac:dyDescent="0.25">
      <c r="H30" t="s">
        <v>294</v>
      </c>
    </row>
    <row r="31" spans="2:8" x14ac:dyDescent="0.25">
      <c r="H31" t="s">
        <v>295</v>
      </c>
    </row>
    <row r="32" spans="2:8" x14ac:dyDescent="0.25">
      <c r="H32" t="s">
        <v>296</v>
      </c>
    </row>
    <row r="33" spans="8:8" x14ac:dyDescent="0.25">
      <c r="H33" t="s">
        <v>297</v>
      </c>
    </row>
    <row r="35" spans="8:8" x14ac:dyDescent="0.25">
      <c r="H35" t="s">
        <v>298</v>
      </c>
    </row>
    <row r="36" spans="8:8" x14ac:dyDescent="0.25">
      <c r="H36" t="s">
        <v>299</v>
      </c>
    </row>
    <row r="37" spans="8:8" x14ac:dyDescent="0.25">
      <c r="H37" t="s">
        <v>300</v>
      </c>
    </row>
    <row r="38" spans="8:8" x14ac:dyDescent="0.25">
      <c r="H38" t="s">
        <v>301</v>
      </c>
    </row>
    <row r="39" spans="8:8" x14ac:dyDescent="0.25">
      <c r="H39" t="s">
        <v>302</v>
      </c>
    </row>
    <row r="40" spans="8:8" x14ac:dyDescent="0.25">
      <c r="H40" t="s">
        <v>303</v>
      </c>
    </row>
    <row r="41" spans="8:8" x14ac:dyDescent="0.25">
      <c r="H41" t="s">
        <v>304</v>
      </c>
    </row>
    <row r="42" spans="8:8" x14ac:dyDescent="0.25">
      <c r="H42" t="s">
        <v>305</v>
      </c>
    </row>
    <row r="44" spans="8:8" x14ac:dyDescent="0.25">
      <c r="H44" t="s">
        <v>306</v>
      </c>
    </row>
    <row r="45" spans="8:8" x14ac:dyDescent="0.25">
      <c r="H45" t="s">
        <v>307</v>
      </c>
    </row>
    <row r="46" spans="8:8" x14ac:dyDescent="0.25">
      <c r="H46" t="s">
        <v>308</v>
      </c>
    </row>
    <row r="47" spans="8:8" x14ac:dyDescent="0.25">
      <c r="H47" t="s">
        <v>309</v>
      </c>
    </row>
    <row r="49" spans="8:8" x14ac:dyDescent="0.25">
      <c r="H49" t="s">
        <v>310</v>
      </c>
    </row>
    <row r="50" spans="8:8" x14ac:dyDescent="0.25">
      <c r="H50" t="s">
        <v>311</v>
      </c>
    </row>
    <row r="51" spans="8:8" x14ac:dyDescent="0.25">
      <c r="H51" t="s">
        <v>312</v>
      </c>
    </row>
    <row r="52" spans="8:8" x14ac:dyDescent="0.25">
      <c r="H52" t="s">
        <v>313</v>
      </c>
    </row>
    <row r="53" spans="8:8" x14ac:dyDescent="0.25">
      <c r="H53" t="s">
        <v>314</v>
      </c>
    </row>
    <row r="54" spans="8:8" x14ac:dyDescent="0.25">
      <c r="H54" t="s">
        <v>315</v>
      </c>
    </row>
    <row r="55" spans="8:8" x14ac:dyDescent="0.25">
      <c r="H55" t="s">
        <v>316</v>
      </c>
    </row>
    <row r="56" spans="8:8" x14ac:dyDescent="0.25">
      <c r="H56" t="s">
        <v>317</v>
      </c>
    </row>
    <row r="58" spans="8:8" x14ac:dyDescent="0.25">
      <c r="H58" t="s">
        <v>318</v>
      </c>
    </row>
    <row r="59" spans="8:8" x14ac:dyDescent="0.25">
      <c r="H59" t="s">
        <v>319</v>
      </c>
    </row>
    <row r="60" spans="8:8" x14ac:dyDescent="0.25">
      <c r="H60" t="s">
        <v>320</v>
      </c>
    </row>
    <row r="61" spans="8:8" x14ac:dyDescent="0.25">
      <c r="H61" t="s">
        <v>321</v>
      </c>
    </row>
    <row r="63" spans="8:8" x14ac:dyDescent="0.25">
      <c r="H63" t="s">
        <v>106</v>
      </c>
    </row>
    <row r="65" spans="8:8" x14ac:dyDescent="0.25">
      <c r="H65" t="s">
        <v>107</v>
      </c>
    </row>
    <row r="66" spans="8:8" x14ac:dyDescent="0.25">
      <c r="H66" t="s">
        <v>162</v>
      </c>
    </row>
    <row r="67" spans="8:8" x14ac:dyDescent="0.25">
      <c r="H67" t="s">
        <v>322</v>
      </c>
    </row>
    <row r="68" spans="8:8" x14ac:dyDescent="0.25">
      <c r="H68" t="s">
        <v>323</v>
      </c>
    </row>
    <row r="69" spans="8:8" x14ac:dyDescent="0.25">
      <c r="H69" t="s">
        <v>324</v>
      </c>
    </row>
    <row r="70" spans="8:8" x14ac:dyDescent="0.25">
      <c r="H70" t="s">
        <v>325</v>
      </c>
    </row>
    <row r="71" spans="8:8" x14ac:dyDescent="0.25">
      <c r="H71" t="s">
        <v>163</v>
      </c>
    </row>
    <row r="73" spans="8:8" x14ac:dyDescent="0.25">
      <c r="H73" t="s">
        <v>108</v>
      </c>
    </row>
    <row r="74" spans="8:8" x14ac:dyDescent="0.25">
      <c r="H74" t="s">
        <v>164</v>
      </c>
    </row>
    <row r="75" spans="8:8" x14ac:dyDescent="0.25">
      <c r="H75" t="s">
        <v>326</v>
      </c>
    </row>
    <row r="76" spans="8:8" x14ac:dyDescent="0.25">
      <c r="H76" t="s">
        <v>327</v>
      </c>
    </row>
    <row r="77" spans="8:8" x14ac:dyDescent="0.25">
      <c r="H77" t="s">
        <v>328</v>
      </c>
    </row>
    <row r="78" spans="8:8" x14ac:dyDescent="0.25">
      <c r="H78" t="s">
        <v>329</v>
      </c>
    </row>
    <row r="79" spans="8:8" x14ac:dyDescent="0.25">
      <c r="H79" t="s">
        <v>165</v>
      </c>
    </row>
    <row r="80" spans="8:8" x14ac:dyDescent="0.25">
      <c r="H80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166</v>
      </c>
    </row>
    <row r="7" spans="2:9" x14ac:dyDescent="0.25">
      <c r="H7" t="s">
        <v>128</v>
      </c>
    </row>
    <row r="8" spans="2:9" x14ac:dyDescent="0.25">
      <c r="B8" s="1" t="s">
        <v>20</v>
      </c>
      <c r="H8" t="s">
        <v>170</v>
      </c>
    </row>
    <row r="9" spans="2:9" x14ac:dyDescent="0.25">
      <c r="B9" t="s">
        <v>167</v>
      </c>
      <c r="H9" t="s">
        <v>171</v>
      </c>
    </row>
    <row r="10" spans="2:9" x14ac:dyDescent="0.25">
      <c r="H10" t="s">
        <v>330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129</v>
      </c>
    </row>
    <row r="14" spans="2:9" x14ac:dyDescent="0.25">
      <c r="B14" s="1" t="s">
        <v>14</v>
      </c>
      <c r="H14" t="s">
        <v>172</v>
      </c>
    </row>
    <row r="15" spans="2:9" x14ac:dyDescent="0.25">
      <c r="B15" t="s">
        <v>16</v>
      </c>
      <c r="H15" t="s">
        <v>171</v>
      </c>
    </row>
    <row r="16" spans="2:9" x14ac:dyDescent="0.25">
      <c r="H16" t="s">
        <v>331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168</v>
      </c>
    </row>
    <row r="19" spans="2:8" x14ac:dyDescent="0.25">
      <c r="H19" t="s">
        <v>130</v>
      </c>
    </row>
    <row r="20" spans="2:8" x14ac:dyDescent="0.25">
      <c r="B20" s="1" t="s">
        <v>22</v>
      </c>
      <c r="H20" t="s">
        <v>173</v>
      </c>
    </row>
    <row r="21" spans="2:8" x14ac:dyDescent="0.25">
      <c r="B21" t="s">
        <v>169</v>
      </c>
      <c r="H21" t="s">
        <v>171</v>
      </c>
    </row>
    <row r="22" spans="2:8" x14ac:dyDescent="0.25">
      <c r="H22" t="s">
        <v>332</v>
      </c>
    </row>
    <row r="23" spans="2:8" x14ac:dyDescent="0.25">
      <c r="H23" t="s">
        <v>31</v>
      </c>
    </row>
    <row r="25" spans="2:8" x14ac:dyDescent="0.25">
      <c r="H25" t="s">
        <v>131</v>
      </c>
    </row>
    <row r="26" spans="2:8" x14ac:dyDescent="0.25">
      <c r="H26" t="s">
        <v>174</v>
      </c>
    </row>
    <row r="27" spans="2:8" x14ac:dyDescent="0.25">
      <c r="H27" t="s">
        <v>171</v>
      </c>
    </row>
    <row r="28" spans="2:8" x14ac:dyDescent="0.25">
      <c r="H28" t="s">
        <v>333</v>
      </c>
    </row>
    <row r="29" spans="2:8" x14ac:dyDescent="0.25">
      <c r="H29" t="s">
        <v>31</v>
      </c>
    </row>
    <row r="30" spans="2:8" x14ac:dyDescent="0.25">
      <c r="H30" t="s">
        <v>175</v>
      </c>
    </row>
    <row r="31" spans="2:8" x14ac:dyDescent="0.25">
      <c r="H31" t="s">
        <v>334</v>
      </c>
    </row>
    <row r="32" spans="2:8" x14ac:dyDescent="0.25">
      <c r="H32" t="s">
        <v>31</v>
      </c>
    </row>
    <row r="34" spans="8:8" x14ac:dyDescent="0.25">
      <c r="H34" t="s">
        <v>132</v>
      </c>
    </row>
    <row r="35" spans="8:8" x14ac:dyDescent="0.25">
      <c r="H35" t="s">
        <v>176</v>
      </c>
    </row>
    <row r="36" spans="8:8" x14ac:dyDescent="0.25">
      <c r="H36" t="s">
        <v>171</v>
      </c>
    </row>
    <row r="37" spans="8:8" x14ac:dyDescent="0.25">
      <c r="H37" t="s">
        <v>335</v>
      </c>
    </row>
    <row r="38" spans="8:8" x14ac:dyDescent="0.25">
      <c r="H38" t="s">
        <v>31</v>
      </c>
    </row>
    <row r="40" spans="8:8" x14ac:dyDescent="0.25">
      <c r="H40" t="s">
        <v>133</v>
      </c>
    </row>
    <row r="41" spans="8:8" x14ac:dyDescent="0.25">
      <c r="H41" t="s">
        <v>177</v>
      </c>
    </row>
    <row r="42" spans="8:8" x14ac:dyDescent="0.25">
      <c r="H42" t="s">
        <v>171</v>
      </c>
    </row>
    <row r="43" spans="8:8" x14ac:dyDescent="0.25">
      <c r="H43" t="s">
        <v>336</v>
      </c>
    </row>
    <row r="44" spans="8:8" x14ac:dyDescent="0.25">
      <c r="H44" t="s">
        <v>31</v>
      </c>
    </row>
    <row r="46" spans="8:8" x14ac:dyDescent="0.25">
      <c r="H46" t="s">
        <v>134</v>
      </c>
    </row>
    <row r="47" spans="8:8" x14ac:dyDescent="0.25">
      <c r="H47" t="s">
        <v>178</v>
      </c>
    </row>
    <row r="48" spans="8:8" x14ac:dyDescent="0.25">
      <c r="H48" t="s">
        <v>171</v>
      </c>
    </row>
    <row r="49" spans="8:8" x14ac:dyDescent="0.25">
      <c r="H49" t="s">
        <v>337</v>
      </c>
    </row>
    <row r="50" spans="8:8" x14ac:dyDescent="0.25">
      <c r="H50" t="s">
        <v>31</v>
      </c>
    </row>
    <row r="51" spans="8:8" x14ac:dyDescent="0.25">
      <c r="H51" t="s">
        <v>179</v>
      </c>
    </row>
    <row r="52" spans="8:8" x14ac:dyDescent="0.25">
      <c r="H52" t="s">
        <v>180</v>
      </c>
    </row>
    <row r="53" spans="8:8" x14ac:dyDescent="0.25">
      <c r="H53" t="s">
        <v>338</v>
      </c>
    </row>
    <row r="54" spans="8:8" x14ac:dyDescent="0.25">
      <c r="H54" t="s">
        <v>31</v>
      </c>
    </row>
    <row r="55" spans="8:8" x14ac:dyDescent="0.25">
      <c r="H55" t="s">
        <v>181</v>
      </c>
    </row>
    <row r="56" spans="8:8" x14ac:dyDescent="0.25">
      <c r="H56" t="s">
        <v>339</v>
      </c>
    </row>
    <row r="57" spans="8:8" x14ac:dyDescent="0.25">
      <c r="H57" t="s">
        <v>31</v>
      </c>
    </row>
    <row r="59" spans="8:8" x14ac:dyDescent="0.25">
      <c r="H59" t="s">
        <v>340</v>
      </c>
    </row>
    <row r="60" spans="8:8" x14ac:dyDescent="0.25">
      <c r="H60" t="s">
        <v>341</v>
      </c>
    </row>
    <row r="61" spans="8:8" x14ac:dyDescent="0.25">
      <c r="H61" t="s">
        <v>171</v>
      </c>
    </row>
    <row r="62" spans="8:8" x14ac:dyDescent="0.25">
      <c r="H62" t="s">
        <v>342</v>
      </c>
    </row>
    <row r="63" spans="8:8" x14ac:dyDescent="0.25">
      <c r="H63" t="s">
        <v>31</v>
      </c>
    </row>
    <row r="64" spans="8:8" x14ac:dyDescent="0.25">
      <c r="H64" t="s">
        <v>175</v>
      </c>
    </row>
    <row r="65" spans="8:8" x14ac:dyDescent="0.25">
      <c r="H65" t="s">
        <v>343</v>
      </c>
    </row>
    <row r="66" spans="8:8" x14ac:dyDescent="0.25">
      <c r="H66" t="s">
        <v>31</v>
      </c>
    </row>
    <row r="67" spans="8:8" x14ac:dyDescent="0.25">
      <c r="H67" t="s">
        <v>180</v>
      </c>
    </row>
    <row r="68" spans="8:8" x14ac:dyDescent="0.25">
      <c r="H68" t="s">
        <v>344</v>
      </c>
    </row>
    <row r="69" spans="8:8" x14ac:dyDescent="0.25">
      <c r="H69" t="s">
        <v>31</v>
      </c>
    </row>
    <row r="70" spans="8:8" x14ac:dyDescent="0.25">
      <c r="H70" t="s">
        <v>181</v>
      </c>
    </row>
    <row r="71" spans="8:8" x14ac:dyDescent="0.25">
      <c r="H71" t="s">
        <v>345</v>
      </c>
    </row>
    <row r="72" spans="8:8" x14ac:dyDescent="0.25">
      <c r="H72" t="s">
        <v>31</v>
      </c>
    </row>
    <row r="74" spans="8:8" x14ac:dyDescent="0.25">
      <c r="H74" t="s">
        <v>346</v>
      </c>
    </row>
    <row r="75" spans="8:8" x14ac:dyDescent="0.25">
      <c r="H75" t="s">
        <v>347</v>
      </c>
    </row>
    <row r="76" spans="8:8" x14ac:dyDescent="0.25">
      <c r="H76" t="s">
        <v>171</v>
      </c>
    </row>
    <row r="77" spans="8:8" x14ac:dyDescent="0.25">
      <c r="H77" t="s">
        <v>348</v>
      </c>
    </row>
    <row r="78" spans="8:8" x14ac:dyDescent="0.25">
      <c r="H78" t="s">
        <v>31</v>
      </c>
    </row>
    <row r="79" spans="8:8" x14ac:dyDescent="0.25">
      <c r="H79" t="s">
        <v>175</v>
      </c>
    </row>
    <row r="80" spans="8:8" x14ac:dyDescent="0.25">
      <c r="H80" t="s">
        <v>349</v>
      </c>
    </row>
    <row r="81" spans="8:8" x14ac:dyDescent="0.25">
      <c r="H81" t="s">
        <v>31</v>
      </c>
    </row>
    <row r="82" spans="8:8" x14ac:dyDescent="0.25">
      <c r="H82" t="s">
        <v>180</v>
      </c>
    </row>
    <row r="83" spans="8:8" x14ac:dyDescent="0.25">
      <c r="H83" t="s">
        <v>350</v>
      </c>
    </row>
    <row r="84" spans="8:8" x14ac:dyDescent="0.25">
      <c r="H84" t="s">
        <v>31</v>
      </c>
    </row>
    <row r="85" spans="8:8" x14ac:dyDescent="0.25">
      <c r="H85" t="s">
        <v>181</v>
      </c>
    </row>
    <row r="86" spans="8:8" x14ac:dyDescent="0.25">
      <c r="H86" t="s">
        <v>351</v>
      </c>
    </row>
    <row r="87" spans="8:8" x14ac:dyDescent="0.25">
      <c r="H87" t="s">
        <v>31</v>
      </c>
    </row>
    <row r="89" spans="8:8" x14ac:dyDescent="0.25">
      <c r="H89" t="s">
        <v>352</v>
      </c>
    </row>
    <row r="90" spans="8:8" x14ac:dyDescent="0.25">
      <c r="H90" t="s">
        <v>353</v>
      </c>
    </row>
    <row r="91" spans="8:8" x14ac:dyDescent="0.25">
      <c r="H91" t="s">
        <v>171</v>
      </c>
    </row>
    <row r="92" spans="8:8" x14ac:dyDescent="0.25">
      <c r="H92" t="s">
        <v>354</v>
      </c>
    </row>
    <row r="93" spans="8:8" x14ac:dyDescent="0.25">
      <c r="H93" t="s">
        <v>31</v>
      </c>
    </row>
    <row r="94" spans="8:8" x14ac:dyDescent="0.25">
      <c r="H94" t="s">
        <v>175</v>
      </c>
    </row>
    <row r="95" spans="8:8" x14ac:dyDescent="0.25">
      <c r="H95" t="s">
        <v>355</v>
      </c>
    </row>
    <row r="96" spans="8:8" x14ac:dyDescent="0.25">
      <c r="H96" t="s">
        <v>31</v>
      </c>
    </row>
    <row r="97" spans="8:8" x14ac:dyDescent="0.25">
      <c r="H97" t="s">
        <v>180</v>
      </c>
    </row>
    <row r="98" spans="8:8" x14ac:dyDescent="0.25">
      <c r="H98" t="s">
        <v>356</v>
      </c>
    </row>
    <row r="99" spans="8:8" x14ac:dyDescent="0.25">
      <c r="H99" t="s">
        <v>31</v>
      </c>
    </row>
    <row r="100" spans="8:8" x14ac:dyDescent="0.25">
      <c r="H100" t="s">
        <v>181</v>
      </c>
    </row>
    <row r="101" spans="8:8" x14ac:dyDescent="0.25">
      <c r="H101" t="s">
        <v>357</v>
      </c>
    </row>
    <row r="102" spans="8:8" x14ac:dyDescent="0.25">
      <c r="H102" t="s">
        <v>31</v>
      </c>
    </row>
    <row r="104" spans="8:8" x14ac:dyDescent="0.25">
      <c r="H104" t="s">
        <v>358</v>
      </c>
    </row>
    <row r="105" spans="8:8" x14ac:dyDescent="0.25">
      <c r="H105" t="s">
        <v>359</v>
      </c>
    </row>
    <row r="106" spans="8:8" x14ac:dyDescent="0.25">
      <c r="H106" t="s">
        <v>171</v>
      </c>
    </row>
    <row r="107" spans="8:8" x14ac:dyDescent="0.25">
      <c r="H107" t="s">
        <v>360</v>
      </c>
    </row>
    <row r="108" spans="8:8" x14ac:dyDescent="0.25">
      <c r="H108" t="s">
        <v>31</v>
      </c>
    </row>
    <row r="110" spans="8:8" x14ac:dyDescent="0.25">
      <c r="H110" t="s">
        <v>361</v>
      </c>
    </row>
    <row r="111" spans="8:8" x14ac:dyDescent="0.25">
      <c r="H111" t="s">
        <v>362</v>
      </c>
    </row>
    <row r="112" spans="8:8" x14ac:dyDescent="0.25">
      <c r="H112" t="s">
        <v>171</v>
      </c>
    </row>
    <row r="113" spans="8:8" x14ac:dyDescent="0.25">
      <c r="H113" t="s">
        <v>363</v>
      </c>
    </row>
    <row r="114" spans="8:8" x14ac:dyDescent="0.25">
      <c r="H114" t="s">
        <v>31</v>
      </c>
    </row>
    <row r="116" spans="8:8" x14ac:dyDescent="0.25">
      <c r="H116" t="s">
        <v>364</v>
      </c>
    </row>
    <row r="117" spans="8:8" x14ac:dyDescent="0.25">
      <c r="H117" t="s">
        <v>365</v>
      </c>
    </row>
    <row r="118" spans="8:8" x14ac:dyDescent="0.25">
      <c r="H118" t="s">
        <v>171</v>
      </c>
    </row>
    <row r="119" spans="8:8" x14ac:dyDescent="0.25">
      <c r="H119" t="s">
        <v>366</v>
      </c>
    </row>
    <row r="120" spans="8:8" x14ac:dyDescent="0.25">
      <c r="H120" t="s">
        <v>31</v>
      </c>
    </row>
    <row r="122" spans="8:8" x14ac:dyDescent="0.25">
      <c r="H122" t="s">
        <v>367</v>
      </c>
    </row>
    <row r="123" spans="8:8" x14ac:dyDescent="0.25">
      <c r="H123" t="s">
        <v>368</v>
      </c>
    </row>
    <row r="124" spans="8:8" x14ac:dyDescent="0.25">
      <c r="H124" t="s">
        <v>171</v>
      </c>
    </row>
    <row r="125" spans="8:8" x14ac:dyDescent="0.25">
      <c r="H125" t="s">
        <v>369</v>
      </c>
    </row>
    <row r="126" spans="8:8" x14ac:dyDescent="0.25">
      <c r="H126" t="s">
        <v>31</v>
      </c>
    </row>
    <row r="127" spans="8:8" x14ac:dyDescent="0.25">
      <c r="H127" t="s">
        <v>175</v>
      </c>
    </row>
    <row r="128" spans="8:8" x14ac:dyDescent="0.25">
      <c r="H128" t="s">
        <v>370</v>
      </c>
    </row>
    <row r="129" spans="8:8" x14ac:dyDescent="0.25">
      <c r="H129" t="s">
        <v>31</v>
      </c>
    </row>
    <row r="130" spans="8:8" x14ac:dyDescent="0.25">
      <c r="H130" t="s">
        <v>180</v>
      </c>
    </row>
    <row r="131" spans="8:8" x14ac:dyDescent="0.25">
      <c r="H131" t="s">
        <v>371</v>
      </c>
    </row>
    <row r="132" spans="8:8" x14ac:dyDescent="0.25">
      <c r="H132" t="s">
        <v>31</v>
      </c>
    </row>
    <row r="133" spans="8:8" x14ac:dyDescent="0.25">
      <c r="H133" t="s">
        <v>181</v>
      </c>
    </row>
    <row r="134" spans="8:8" x14ac:dyDescent="0.25">
      <c r="H134" t="s">
        <v>372</v>
      </c>
    </row>
    <row r="135" spans="8:8" x14ac:dyDescent="0.25">
      <c r="H135" t="s">
        <v>31</v>
      </c>
    </row>
    <row r="137" spans="8:8" x14ac:dyDescent="0.25">
      <c r="H137" t="s">
        <v>373</v>
      </c>
    </row>
    <row r="138" spans="8:8" x14ac:dyDescent="0.25">
      <c r="H138" t="s">
        <v>374</v>
      </c>
    </row>
    <row r="139" spans="8:8" x14ac:dyDescent="0.25">
      <c r="H139" t="s">
        <v>171</v>
      </c>
    </row>
    <row r="140" spans="8:8" x14ac:dyDescent="0.25">
      <c r="H140" t="s">
        <v>375</v>
      </c>
    </row>
    <row r="141" spans="8:8" x14ac:dyDescent="0.25">
      <c r="H141" t="s">
        <v>31</v>
      </c>
    </row>
    <row r="142" spans="8:8" x14ac:dyDescent="0.25">
      <c r="H142" t="s">
        <v>175</v>
      </c>
    </row>
    <row r="143" spans="8:8" x14ac:dyDescent="0.25">
      <c r="H143" t="s">
        <v>376</v>
      </c>
    </row>
    <row r="144" spans="8:8" x14ac:dyDescent="0.25">
      <c r="H144" t="s">
        <v>31</v>
      </c>
    </row>
    <row r="145" spans="8:8" x14ac:dyDescent="0.25">
      <c r="H145" t="s">
        <v>180</v>
      </c>
    </row>
    <row r="146" spans="8:8" x14ac:dyDescent="0.25">
      <c r="H146" t="s">
        <v>377</v>
      </c>
    </row>
    <row r="147" spans="8:8" x14ac:dyDescent="0.25">
      <c r="H147" t="s">
        <v>31</v>
      </c>
    </row>
    <row r="148" spans="8:8" x14ac:dyDescent="0.25">
      <c r="H148" t="s">
        <v>181</v>
      </c>
    </row>
    <row r="149" spans="8:8" x14ac:dyDescent="0.25">
      <c r="H149" t="s">
        <v>378</v>
      </c>
    </row>
    <row r="150" spans="8:8" x14ac:dyDescent="0.25">
      <c r="H150" t="s">
        <v>31</v>
      </c>
    </row>
    <row r="152" spans="8:8" x14ac:dyDescent="0.25">
      <c r="H152" t="s">
        <v>379</v>
      </c>
    </row>
    <row r="153" spans="8:8" x14ac:dyDescent="0.25">
      <c r="H153" t="s">
        <v>380</v>
      </c>
    </row>
    <row r="154" spans="8:8" x14ac:dyDescent="0.25">
      <c r="H154" t="s">
        <v>171</v>
      </c>
    </row>
    <row r="155" spans="8:8" x14ac:dyDescent="0.25">
      <c r="H155" t="s">
        <v>381</v>
      </c>
    </row>
    <row r="156" spans="8:8" x14ac:dyDescent="0.25">
      <c r="H156" t="s">
        <v>31</v>
      </c>
    </row>
    <row r="157" spans="8:8" x14ac:dyDescent="0.25">
      <c r="H157" t="s">
        <v>175</v>
      </c>
    </row>
    <row r="158" spans="8:8" x14ac:dyDescent="0.25">
      <c r="H158" t="s">
        <v>382</v>
      </c>
    </row>
    <row r="159" spans="8:8" x14ac:dyDescent="0.25">
      <c r="H159" t="s">
        <v>31</v>
      </c>
    </row>
    <row r="160" spans="8:8" x14ac:dyDescent="0.25">
      <c r="H160" t="s">
        <v>180</v>
      </c>
    </row>
    <row r="161" spans="8:8" x14ac:dyDescent="0.25">
      <c r="H161" t="s">
        <v>383</v>
      </c>
    </row>
    <row r="162" spans="8:8" x14ac:dyDescent="0.25">
      <c r="H162" t="s">
        <v>31</v>
      </c>
    </row>
    <row r="163" spans="8:8" x14ac:dyDescent="0.25">
      <c r="H163" t="s">
        <v>181</v>
      </c>
    </row>
    <row r="164" spans="8:8" x14ac:dyDescent="0.25">
      <c r="H164" t="s">
        <v>384</v>
      </c>
    </row>
    <row r="165" spans="8:8" x14ac:dyDescent="0.25">
      <c r="H165" t="s">
        <v>31</v>
      </c>
    </row>
    <row r="167" spans="8:8" x14ac:dyDescent="0.25">
      <c r="H167" t="s">
        <v>385</v>
      </c>
    </row>
    <row r="168" spans="8:8" x14ac:dyDescent="0.25">
      <c r="H168" t="s">
        <v>386</v>
      </c>
    </row>
    <row r="169" spans="8:8" x14ac:dyDescent="0.25">
      <c r="H169" t="s">
        <v>171</v>
      </c>
    </row>
    <row r="170" spans="8:8" x14ac:dyDescent="0.25">
      <c r="H170" t="s">
        <v>387</v>
      </c>
    </row>
    <row r="171" spans="8:8" x14ac:dyDescent="0.25">
      <c r="H171" t="s">
        <v>31</v>
      </c>
    </row>
    <row r="173" spans="8:8" x14ac:dyDescent="0.25">
      <c r="H173" t="s">
        <v>388</v>
      </c>
    </row>
    <row r="174" spans="8:8" x14ac:dyDescent="0.25">
      <c r="H174" t="s">
        <v>389</v>
      </c>
    </row>
    <row r="175" spans="8:8" x14ac:dyDescent="0.25">
      <c r="H175" t="s">
        <v>171</v>
      </c>
    </row>
    <row r="176" spans="8:8" x14ac:dyDescent="0.25">
      <c r="H176" t="s">
        <v>390</v>
      </c>
    </row>
    <row r="177" spans="8:8" x14ac:dyDescent="0.25">
      <c r="H177" t="s">
        <v>31</v>
      </c>
    </row>
    <row r="179" spans="8:8" x14ac:dyDescent="0.25">
      <c r="H179" t="s">
        <v>391</v>
      </c>
    </row>
    <row r="180" spans="8:8" x14ac:dyDescent="0.25">
      <c r="H180" t="s">
        <v>392</v>
      </c>
    </row>
    <row r="181" spans="8:8" x14ac:dyDescent="0.25">
      <c r="H181" t="s">
        <v>171</v>
      </c>
    </row>
    <row r="182" spans="8:8" x14ac:dyDescent="0.25">
      <c r="H182" t="s">
        <v>393</v>
      </c>
    </row>
    <row r="183" spans="8:8" x14ac:dyDescent="0.25">
      <c r="H183" t="s">
        <v>31</v>
      </c>
    </row>
    <row r="185" spans="8:8" x14ac:dyDescent="0.25">
      <c r="H185" t="s">
        <v>29</v>
      </c>
    </row>
    <row r="186" spans="8:8" x14ac:dyDescent="0.25">
      <c r="H186" t="s">
        <v>121</v>
      </c>
    </row>
    <row r="187" spans="8:8" x14ac:dyDescent="0.25">
      <c r="H187" t="s">
        <v>182</v>
      </c>
    </row>
    <row r="189" spans="8:8" x14ac:dyDescent="0.25">
      <c r="H189" t="s">
        <v>30</v>
      </c>
    </row>
    <row r="190" spans="8:8" x14ac:dyDescent="0.25">
      <c r="H190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166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170</v>
      </c>
    </row>
    <row r="9" spans="1:8" x14ac:dyDescent="0.25">
      <c r="B9" t="s">
        <v>167</v>
      </c>
      <c r="H9" t="s">
        <v>171</v>
      </c>
    </row>
    <row r="10" spans="1:8" x14ac:dyDescent="0.25">
      <c r="H10" t="s">
        <v>394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36</v>
      </c>
      <c r="H14" t="s">
        <v>172</v>
      </c>
    </row>
    <row r="15" spans="1:8" x14ac:dyDescent="0.25">
      <c r="B15" t="s">
        <v>35</v>
      </c>
      <c r="H15" t="s">
        <v>171</v>
      </c>
    </row>
    <row r="16" spans="1:8" x14ac:dyDescent="0.25">
      <c r="H16" t="s">
        <v>395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183</v>
      </c>
    </row>
    <row r="19" spans="2:8" x14ac:dyDescent="0.25">
      <c r="H19" t="s">
        <v>132</v>
      </c>
    </row>
    <row r="20" spans="2:8" x14ac:dyDescent="0.25">
      <c r="B20" s="1"/>
      <c r="H20" t="s">
        <v>176</v>
      </c>
    </row>
    <row r="21" spans="2:8" x14ac:dyDescent="0.25">
      <c r="H21" t="s">
        <v>171</v>
      </c>
    </row>
    <row r="22" spans="2:8" x14ac:dyDescent="0.25">
      <c r="H22" t="s">
        <v>396</v>
      </c>
    </row>
    <row r="23" spans="2:8" x14ac:dyDescent="0.25">
      <c r="H23" t="s">
        <v>31</v>
      </c>
    </row>
    <row r="25" spans="2:8" x14ac:dyDescent="0.25">
      <c r="H25" t="s">
        <v>340</v>
      </c>
    </row>
    <row r="26" spans="2:8" x14ac:dyDescent="0.25">
      <c r="H26" t="s">
        <v>341</v>
      </c>
    </row>
    <row r="27" spans="2:8" x14ac:dyDescent="0.25">
      <c r="H27" t="s">
        <v>171</v>
      </c>
    </row>
    <row r="28" spans="2:8" x14ac:dyDescent="0.25">
      <c r="H28" t="s">
        <v>397</v>
      </c>
    </row>
    <row r="29" spans="2:8" x14ac:dyDescent="0.25">
      <c r="H29" t="s">
        <v>31</v>
      </c>
    </row>
    <row r="30" spans="2:8" x14ac:dyDescent="0.25">
      <c r="H30" t="s">
        <v>175</v>
      </c>
    </row>
    <row r="31" spans="2:8" x14ac:dyDescent="0.25">
      <c r="H31" t="s">
        <v>398</v>
      </c>
    </row>
    <row r="32" spans="2:8" x14ac:dyDescent="0.25">
      <c r="H32" t="s">
        <v>31</v>
      </c>
    </row>
    <row r="33" spans="8:8" x14ac:dyDescent="0.25">
      <c r="H33" t="s">
        <v>180</v>
      </c>
    </row>
    <row r="34" spans="8:8" x14ac:dyDescent="0.25">
      <c r="H34" t="s">
        <v>399</v>
      </c>
    </row>
    <row r="35" spans="8:8" x14ac:dyDescent="0.25">
      <c r="H35" t="s">
        <v>31</v>
      </c>
    </row>
    <row r="36" spans="8:8" x14ac:dyDescent="0.25">
      <c r="H36" t="s">
        <v>181</v>
      </c>
    </row>
    <row r="37" spans="8:8" x14ac:dyDescent="0.25">
      <c r="H37" t="s">
        <v>400</v>
      </c>
    </row>
    <row r="38" spans="8:8" x14ac:dyDescent="0.25">
      <c r="H38" t="s">
        <v>31</v>
      </c>
    </row>
    <row r="40" spans="8:8" x14ac:dyDescent="0.25">
      <c r="H40" t="s">
        <v>346</v>
      </c>
    </row>
    <row r="41" spans="8:8" x14ac:dyDescent="0.25">
      <c r="H41" t="s">
        <v>347</v>
      </c>
    </row>
    <row r="42" spans="8:8" x14ac:dyDescent="0.25">
      <c r="H42" t="s">
        <v>171</v>
      </c>
    </row>
    <row r="43" spans="8:8" x14ac:dyDescent="0.25">
      <c r="H43" t="s">
        <v>401</v>
      </c>
    </row>
    <row r="44" spans="8:8" x14ac:dyDescent="0.25">
      <c r="H44" t="s">
        <v>31</v>
      </c>
    </row>
    <row r="45" spans="8:8" x14ac:dyDescent="0.25">
      <c r="H45" t="s">
        <v>175</v>
      </c>
    </row>
    <row r="46" spans="8:8" x14ac:dyDescent="0.25">
      <c r="H46" t="s">
        <v>402</v>
      </c>
    </row>
    <row r="47" spans="8:8" x14ac:dyDescent="0.25">
      <c r="H47" t="s">
        <v>31</v>
      </c>
    </row>
    <row r="48" spans="8:8" x14ac:dyDescent="0.25">
      <c r="H48" t="s">
        <v>180</v>
      </c>
    </row>
    <row r="49" spans="8:8" x14ac:dyDescent="0.25">
      <c r="H49" t="s">
        <v>403</v>
      </c>
    </row>
    <row r="50" spans="8:8" x14ac:dyDescent="0.25">
      <c r="H50" t="s">
        <v>31</v>
      </c>
    </row>
    <row r="51" spans="8:8" x14ac:dyDescent="0.25">
      <c r="H51" t="s">
        <v>181</v>
      </c>
    </row>
    <row r="52" spans="8:8" x14ac:dyDescent="0.25">
      <c r="H52" t="s">
        <v>404</v>
      </c>
    </row>
    <row r="53" spans="8:8" x14ac:dyDescent="0.25">
      <c r="H53" t="s">
        <v>31</v>
      </c>
    </row>
    <row r="55" spans="8:8" x14ac:dyDescent="0.25">
      <c r="H55" t="s">
        <v>352</v>
      </c>
    </row>
    <row r="56" spans="8:8" x14ac:dyDescent="0.25">
      <c r="H56" t="s">
        <v>353</v>
      </c>
    </row>
    <row r="57" spans="8:8" x14ac:dyDescent="0.25">
      <c r="H57" t="s">
        <v>171</v>
      </c>
    </row>
    <row r="58" spans="8:8" x14ac:dyDescent="0.25">
      <c r="H58" t="s">
        <v>405</v>
      </c>
    </row>
    <row r="59" spans="8:8" x14ac:dyDescent="0.25">
      <c r="H59" t="s">
        <v>31</v>
      </c>
    </row>
    <row r="60" spans="8:8" x14ac:dyDescent="0.25">
      <c r="H60" t="s">
        <v>175</v>
      </c>
    </row>
    <row r="61" spans="8:8" x14ac:dyDescent="0.25">
      <c r="H61" t="s">
        <v>406</v>
      </c>
    </row>
    <row r="62" spans="8:8" x14ac:dyDescent="0.25">
      <c r="H62" t="s">
        <v>31</v>
      </c>
    </row>
    <row r="63" spans="8:8" x14ac:dyDescent="0.25">
      <c r="H63" t="s">
        <v>180</v>
      </c>
    </row>
    <row r="64" spans="8:8" x14ac:dyDescent="0.25">
      <c r="H64" t="s">
        <v>407</v>
      </c>
    </row>
    <row r="65" spans="8:8" x14ac:dyDescent="0.25">
      <c r="H65" t="s">
        <v>31</v>
      </c>
    </row>
    <row r="66" spans="8:8" x14ac:dyDescent="0.25">
      <c r="H66" t="s">
        <v>181</v>
      </c>
    </row>
    <row r="67" spans="8:8" x14ac:dyDescent="0.25">
      <c r="H67" t="s">
        <v>408</v>
      </c>
    </row>
    <row r="68" spans="8:8" x14ac:dyDescent="0.25">
      <c r="H68" t="s">
        <v>31</v>
      </c>
    </row>
    <row r="70" spans="8:8" x14ac:dyDescent="0.25">
      <c r="H70" t="s">
        <v>358</v>
      </c>
    </row>
    <row r="71" spans="8:8" x14ac:dyDescent="0.25">
      <c r="H71" t="s">
        <v>359</v>
      </c>
    </row>
    <row r="72" spans="8:8" x14ac:dyDescent="0.25">
      <c r="H72" t="s">
        <v>171</v>
      </c>
    </row>
    <row r="73" spans="8:8" x14ac:dyDescent="0.25">
      <c r="H73" t="s">
        <v>409</v>
      </c>
    </row>
    <row r="74" spans="8:8" x14ac:dyDescent="0.25">
      <c r="H74" t="s">
        <v>31</v>
      </c>
    </row>
    <row r="76" spans="8:8" x14ac:dyDescent="0.25">
      <c r="H76" t="s">
        <v>361</v>
      </c>
    </row>
    <row r="77" spans="8:8" x14ac:dyDescent="0.25">
      <c r="H77" t="s">
        <v>362</v>
      </c>
    </row>
    <row r="78" spans="8:8" x14ac:dyDescent="0.25">
      <c r="H78" t="s">
        <v>171</v>
      </c>
    </row>
    <row r="79" spans="8:8" x14ac:dyDescent="0.25">
      <c r="H79" t="s">
        <v>410</v>
      </c>
    </row>
    <row r="80" spans="8:8" x14ac:dyDescent="0.25">
      <c r="H80" t="s">
        <v>31</v>
      </c>
    </row>
    <row r="82" spans="8:8" x14ac:dyDescent="0.25">
      <c r="H82" t="s">
        <v>367</v>
      </c>
    </row>
    <row r="83" spans="8:8" x14ac:dyDescent="0.25">
      <c r="H83" t="s">
        <v>368</v>
      </c>
    </row>
    <row r="84" spans="8:8" x14ac:dyDescent="0.25">
      <c r="H84" t="s">
        <v>171</v>
      </c>
    </row>
    <row r="85" spans="8:8" x14ac:dyDescent="0.25">
      <c r="H85" t="s">
        <v>411</v>
      </c>
    </row>
    <row r="86" spans="8:8" x14ac:dyDescent="0.25">
      <c r="H86" t="s">
        <v>31</v>
      </c>
    </row>
    <row r="87" spans="8:8" x14ac:dyDescent="0.25">
      <c r="H87" t="s">
        <v>175</v>
      </c>
    </row>
    <row r="88" spans="8:8" x14ac:dyDescent="0.25">
      <c r="H88" t="s">
        <v>412</v>
      </c>
    </row>
    <row r="89" spans="8:8" x14ac:dyDescent="0.25">
      <c r="H89" t="s">
        <v>31</v>
      </c>
    </row>
    <row r="90" spans="8:8" x14ac:dyDescent="0.25">
      <c r="H90" t="s">
        <v>180</v>
      </c>
    </row>
    <row r="91" spans="8:8" x14ac:dyDescent="0.25">
      <c r="H91" t="s">
        <v>413</v>
      </c>
    </row>
    <row r="92" spans="8:8" x14ac:dyDescent="0.25">
      <c r="H92" t="s">
        <v>31</v>
      </c>
    </row>
    <row r="93" spans="8:8" x14ac:dyDescent="0.25">
      <c r="H93" t="s">
        <v>181</v>
      </c>
    </row>
    <row r="94" spans="8:8" x14ac:dyDescent="0.25">
      <c r="H94" t="s">
        <v>414</v>
      </c>
    </row>
    <row r="95" spans="8:8" x14ac:dyDescent="0.25">
      <c r="H95" t="s">
        <v>31</v>
      </c>
    </row>
    <row r="97" spans="8:8" x14ac:dyDescent="0.25">
      <c r="H97" t="s">
        <v>373</v>
      </c>
    </row>
    <row r="98" spans="8:8" x14ac:dyDescent="0.25">
      <c r="H98" t="s">
        <v>374</v>
      </c>
    </row>
    <row r="99" spans="8:8" x14ac:dyDescent="0.25">
      <c r="H99" t="s">
        <v>171</v>
      </c>
    </row>
    <row r="100" spans="8:8" x14ac:dyDescent="0.25">
      <c r="H100" t="s">
        <v>415</v>
      </c>
    </row>
    <row r="101" spans="8:8" x14ac:dyDescent="0.25">
      <c r="H101" t="s">
        <v>31</v>
      </c>
    </row>
    <row r="102" spans="8:8" x14ac:dyDescent="0.25">
      <c r="H102" t="s">
        <v>175</v>
      </c>
    </row>
    <row r="103" spans="8:8" x14ac:dyDescent="0.25">
      <c r="H103" t="s">
        <v>416</v>
      </c>
    </row>
    <row r="104" spans="8:8" x14ac:dyDescent="0.25">
      <c r="H104" t="s">
        <v>31</v>
      </c>
    </row>
    <row r="105" spans="8:8" x14ac:dyDescent="0.25">
      <c r="H105" t="s">
        <v>180</v>
      </c>
    </row>
    <row r="106" spans="8:8" x14ac:dyDescent="0.25">
      <c r="H106" t="s">
        <v>417</v>
      </c>
    </row>
    <row r="107" spans="8:8" x14ac:dyDescent="0.25">
      <c r="H107" t="s">
        <v>31</v>
      </c>
    </row>
    <row r="108" spans="8:8" x14ac:dyDescent="0.25">
      <c r="H108" t="s">
        <v>181</v>
      </c>
    </row>
    <row r="109" spans="8:8" x14ac:dyDescent="0.25">
      <c r="H109" t="s">
        <v>418</v>
      </c>
    </row>
    <row r="110" spans="8:8" x14ac:dyDescent="0.25">
      <c r="H110" t="s">
        <v>31</v>
      </c>
    </row>
    <row r="112" spans="8:8" x14ac:dyDescent="0.25">
      <c r="H112" t="s">
        <v>379</v>
      </c>
    </row>
    <row r="113" spans="8:8" x14ac:dyDescent="0.25">
      <c r="H113" t="s">
        <v>380</v>
      </c>
    </row>
    <row r="114" spans="8:8" x14ac:dyDescent="0.25">
      <c r="H114" t="s">
        <v>171</v>
      </c>
    </row>
    <row r="115" spans="8:8" x14ac:dyDescent="0.25">
      <c r="H115" t="s">
        <v>419</v>
      </c>
    </row>
    <row r="116" spans="8:8" x14ac:dyDescent="0.25">
      <c r="H116" t="s">
        <v>31</v>
      </c>
    </row>
    <row r="117" spans="8:8" x14ac:dyDescent="0.25">
      <c r="H117" t="s">
        <v>175</v>
      </c>
    </row>
    <row r="118" spans="8:8" x14ac:dyDescent="0.25">
      <c r="H118" t="s">
        <v>420</v>
      </c>
    </row>
    <row r="119" spans="8:8" x14ac:dyDescent="0.25">
      <c r="H119" t="s">
        <v>31</v>
      </c>
    </row>
    <row r="120" spans="8:8" x14ac:dyDescent="0.25">
      <c r="H120" t="s">
        <v>180</v>
      </c>
    </row>
    <row r="121" spans="8:8" x14ac:dyDescent="0.25">
      <c r="H121" t="s">
        <v>421</v>
      </c>
    </row>
    <row r="122" spans="8:8" x14ac:dyDescent="0.25">
      <c r="H122" t="s">
        <v>31</v>
      </c>
    </row>
    <row r="123" spans="8:8" x14ac:dyDescent="0.25">
      <c r="H123" t="s">
        <v>181</v>
      </c>
    </row>
    <row r="124" spans="8:8" x14ac:dyDescent="0.25">
      <c r="H124" t="s">
        <v>422</v>
      </c>
    </row>
    <row r="125" spans="8:8" x14ac:dyDescent="0.25">
      <c r="H125" t="s">
        <v>31</v>
      </c>
    </row>
    <row r="127" spans="8:8" x14ac:dyDescent="0.25">
      <c r="H127" t="s">
        <v>385</v>
      </c>
    </row>
    <row r="128" spans="8:8" x14ac:dyDescent="0.25">
      <c r="H128" t="s">
        <v>386</v>
      </c>
    </row>
    <row r="129" spans="8:8" x14ac:dyDescent="0.25">
      <c r="H129" t="s">
        <v>171</v>
      </c>
    </row>
    <row r="130" spans="8:8" x14ac:dyDescent="0.25">
      <c r="H130" t="s">
        <v>423</v>
      </c>
    </row>
    <row r="131" spans="8:8" x14ac:dyDescent="0.25">
      <c r="H131" t="s">
        <v>31</v>
      </c>
    </row>
    <row r="133" spans="8:8" x14ac:dyDescent="0.25">
      <c r="H133" t="s">
        <v>388</v>
      </c>
    </row>
    <row r="134" spans="8:8" x14ac:dyDescent="0.25">
      <c r="H134" t="s">
        <v>389</v>
      </c>
    </row>
    <row r="135" spans="8:8" x14ac:dyDescent="0.25">
      <c r="H135" t="s">
        <v>171</v>
      </c>
    </row>
    <row r="136" spans="8:8" x14ac:dyDescent="0.25">
      <c r="H136" t="s">
        <v>424</v>
      </c>
    </row>
    <row r="137" spans="8:8" x14ac:dyDescent="0.25">
      <c r="H137" t="s">
        <v>31</v>
      </c>
    </row>
    <row r="139" spans="8:8" x14ac:dyDescent="0.25">
      <c r="H139" t="s">
        <v>29</v>
      </c>
    </row>
    <row r="140" spans="8:8" x14ac:dyDescent="0.25">
      <c r="H140" t="s">
        <v>122</v>
      </c>
    </row>
    <row r="141" spans="8:8" x14ac:dyDescent="0.25">
      <c r="H141" t="s">
        <v>39</v>
      </c>
    </row>
    <row r="143" spans="8:8" x14ac:dyDescent="0.25">
      <c r="H143" t="s">
        <v>30</v>
      </c>
    </row>
    <row r="144" spans="8:8" x14ac:dyDescent="0.25">
      <c r="H144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184</v>
      </c>
      <c r="I5" t="s">
        <v>184</v>
      </c>
    </row>
    <row r="6" spans="2:9" x14ac:dyDescent="0.25">
      <c r="B6" t="s">
        <v>166</v>
      </c>
      <c r="H6" t="s">
        <v>425</v>
      </c>
      <c r="I6" t="s">
        <v>425</v>
      </c>
    </row>
    <row r="7" spans="2:9" x14ac:dyDescent="0.25">
      <c r="H7" t="s">
        <v>185</v>
      </c>
      <c r="I7" t="s">
        <v>186</v>
      </c>
    </row>
    <row r="8" spans="2:9" x14ac:dyDescent="0.25">
      <c r="B8" s="1" t="s">
        <v>20</v>
      </c>
      <c r="H8" t="s">
        <v>426</v>
      </c>
      <c r="I8" t="s">
        <v>427</v>
      </c>
    </row>
    <row r="9" spans="2:9" x14ac:dyDescent="0.25">
      <c r="B9" t="s">
        <v>167</v>
      </c>
      <c r="H9" t="s">
        <v>186</v>
      </c>
      <c r="I9" t="s">
        <v>434</v>
      </c>
    </row>
    <row r="10" spans="2:9" x14ac:dyDescent="0.25">
      <c r="H10" t="s">
        <v>427</v>
      </c>
      <c r="I10" t="s">
        <v>435</v>
      </c>
    </row>
    <row r="11" spans="2:9" x14ac:dyDescent="0.25">
      <c r="B11" s="1" t="s">
        <v>13</v>
      </c>
      <c r="H11" t="s">
        <v>428</v>
      </c>
      <c r="I11" t="s">
        <v>436</v>
      </c>
    </row>
    <row r="12" spans="2:9" x14ac:dyDescent="0.25">
      <c r="B12" t="s">
        <v>15</v>
      </c>
      <c r="H12" t="s">
        <v>429</v>
      </c>
      <c r="I12" t="s">
        <v>437</v>
      </c>
    </row>
    <row r="13" spans="2:9" x14ac:dyDescent="0.25">
      <c r="H13" t="s">
        <v>430</v>
      </c>
      <c r="I13" t="s">
        <v>444</v>
      </c>
    </row>
    <row r="14" spans="2:9" x14ac:dyDescent="0.25">
      <c r="B14" s="1" t="s">
        <v>36</v>
      </c>
      <c r="H14" t="s">
        <v>431</v>
      </c>
      <c r="I14" t="s">
        <v>445</v>
      </c>
    </row>
    <row r="15" spans="2:9" x14ac:dyDescent="0.25">
      <c r="B15" t="s">
        <v>35</v>
      </c>
      <c r="H15" t="s">
        <v>432</v>
      </c>
      <c r="I15" t="s">
        <v>446</v>
      </c>
    </row>
    <row r="16" spans="2:9" x14ac:dyDescent="0.25">
      <c r="H16" t="s">
        <v>433</v>
      </c>
      <c r="I16" t="s">
        <v>447</v>
      </c>
    </row>
    <row r="17" spans="2:9" x14ac:dyDescent="0.25">
      <c r="B17" s="1" t="s">
        <v>21</v>
      </c>
      <c r="H17" t="s">
        <v>434</v>
      </c>
      <c r="I17" s="11" t="s">
        <v>85</v>
      </c>
    </row>
    <row r="18" spans="2:9" x14ac:dyDescent="0.25">
      <c r="B18" t="s">
        <v>183</v>
      </c>
      <c r="H18" t="s">
        <v>435</v>
      </c>
    </row>
    <row r="19" spans="2:9" x14ac:dyDescent="0.25">
      <c r="H19" t="s">
        <v>436</v>
      </c>
    </row>
    <row r="20" spans="2:9" x14ac:dyDescent="0.25">
      <c r="B20" s="1"/>
      <c r="H20" t="s">
        <v>437</v>
      </c>
    </row>
    <row r="21" spans="2:9" x14ac:dyDescent="0.25">
      <c r="H21" t="s">
        <v>438</v>
      </c>
    </row>
    <row r="22" spans="2:9" x14ac:dyDescent="0.25">
      <c r="H22" t="s">
        <v>439</v>
      </c>
    </row>
    <row r="23" spans="2:9" x14ac:dyDescent="0.25">
      <c r="H23" t="s">
        <v>440</v>
      </c>
    </row>
    <row r="24" spans="2:9" x14ac:dyDescent="0.25">
      <c r="H24" t="s">
        <v>441</v>
      </c>
    </row>
    <row r="25" spans="2:9" x14ac:dyDescent="0.25">
      <c r="H25" t="s">
        <v>442</v>
      </c>
    </row>
    <row r="26" spans="2:9" x14ac:dyDescent="0.25">
      <c r="H26" t="s">
        <v>443</v>
      </c>
    </row>
    <row r="27" spans="2:9" x14ac:dyDescent="0.25">
      <c r="H27" t="s">
        <v>444</v>
      </c>
    </row>
    <row r="28" spans="2:9" x14ac:dyDescent="0.25">
      <c r="H28" t="s">
        <v>445</v>
      </c>
    </row>
    <row r="29" spans="2:9" x14ac:dyDescent="0.25">
      <c r="H29" t="s">
        <v>446</v>
      </c>
    </row>
    <row r="30" spans="2:9" x14ac:dyDescent="0.25">
      <c r="H30" t="s">
        <v>447</v>
      </c>
    </row>
    <row r="31" spans="2:9" x14ac:dyDescent="0.25">
      <c r="H31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187</v>
      </c>
    </row>
    <row r="4" spans="2:8" x14ac:dyDescent="0.25">
      <c r="H4" t="s">
        <v>188</v>
      </c>
    </row>
    <row r="5" spans="2:8" x14ac:dyDescent="0.25">
      <c r="B5" s="1"/>
      <c r="H5" t="s">
        <v>448</v>
      </c>
    </row>
    <row r="6" spans="2:8" x14ac:dyDescent="0.25">
      <c r="H6" t="s">
        <v>449</v>
      </c>
    </row>
    <row r="7" spans="2:8" x14ac:dyDescent="0.25">
      <c r="H7" t="s">
        <v>189</v>
      </c>
    </row>
    <row r="8" spans="2:8" x14ac:dyDescent="0.25">
      <c r="B8" s="1"/>
    </row>
    <row r="9" spans="2:8" x14ac:dyDescent="0.25">
      <c r="H9" t="s">
        <v>190</v>
      </c>
    </row>
    <row r="10" spans="2:8" x14ac:dyDescent="0.25">
      <c r="H10" t="s">
        <v>191</v>
      </c>
    </row>
    <row r="11" spans="2:8" x14ac:dyDescent="0.25">
      <c r="B11" s="1"/>
      <c r="H11" t="s">
        <v>450</v>
      </c>
    </row>
    <row r="12" spans="2:8" x14ac:dyDescent="0.25">
      <c r="H12" t="s">
        <v>451</v>
      </c>
    </row>
    <row r="13" spans="2:8" x14ac:dyDescent="0.25">
      <c r="H13" t="s">
        <v>192</v>
      </c>
    </row>
    <row r="14" spans="2:8" x14ac:dyDescent="0.25">
      <c r="B14" s="1"/>
    </row>
    <row r="15" spans="2:8" x14ac:dyDescent="0.25">
      <c r="H15" t="s">
        <v>193</v>
      </c>
    </row>
    <row r="16" spans="2:8" x14ac:dyDescent="0.25">
      <c r="H16" t="s">
        <v>194</v>
      </c>
    </row>
    <row r="17" spans="2:8" x14ac:dyDescent="0.25">
      <c r="B17" s="1"/>
      <c r="H17" t="s">
        <v>452</v>
      </c>
    </row>
    <row r="18" spans="2:8" x14ac:dyDescent="0.25">
      <c r="H18" t="s">
        <v>195</v>
      </c>
    </row>
    <row r="20" spans="2:8" x14ac:dyDescent="0.25">
      <c r="B20" s="1"/>
      <c r="H20" t="s">
        <v>196</v>
      </c>
    </row>
    <row r="21" spans="2:8" x14ac:dyDescent="0.25">
      <c r="H21" t="s">
        <v>197</v>
      </c>
    </row>
    <row r="22" spans="2:8" x14ac:dyDescent="0.25">
      <c r="H22" t="s">
        <v>453</v>
      </c>
    </row>
    <row r="23" spans="2:8" x14ac:dyDescent="0.25">
      <c r="H23" t="s">
        <v>454</v>
      </c>
    </row>
    <row r="24" spans="2:8" x14ac:dyDescent="0.25">
      <c r="H24" t="s">
        <v>455</v>
      </c>
    </row>
    <row r="25" spans="2:8" x14ac:dyDescent="0.25">
      <c r="H25" t="s">
        <v>198</v>
      </c>
    </row>
    <row r="27" spans="2:8" x14ac:dyDescent="0.25">
      <c r="H27" t="s">
        <v>456</v>
      </c>
    </row>
    <row r="28" spans="2:8" x14ac:dyDescent="0.25">
      <c r="H28" t="s">
        <v>457</v>
      </c>
    </row>
    <row r="29" spans="2:8" x14ac:dyDescent="0.25">
      <c r="H29" t="s">
        <v>458</v>
      </c>
    </row>
    <row r="30" spans="2:8" x14ac:dyDescent="0.25">
      <c r="H30" t="s">
        <v>459</v>
      </c>
    </row>
    <row r="31" spans="2:8" x14ac:dyDescent="0.25">
      <c r="H31" t="s">
        <v>460</v>
      </c>
    </row>
    <row r="32" spans="2:8" x14ac:dyDescent="0.25">
      <c r="H32" t="s">
        <v>461</v>
      </c>
    </row>
    <row r="33" spans="8:8" x14ac:dyDescent="0.25">
      <c r="H33" t="s">
        <v>462</v>
      </c>
    </row>
    <row r="34" spans="8:8" x14ac:dyDescent="0.25">
      <c r="H34" t="s">
        <v>463</v>
      </c>
    </row>
    <row r="36" spans="8:8" x14ac:dyDescent="0.25">
      <c r="H36" t="s">
        <v>464</v>
      </c>
    </row>
    <row r="37" spans="8:8" x14ac:dyDescent="0.25">
      <c r="H37" t="s">
        <v>465</v>
      </c>
    </row>
    <row r="38" spans="8:8" x14ac:dyDescent="0.25">
      <c r="H38" t="s">
        <v>466</v>
      </c>
    </row>
    <row r="39" spans="8:8" x14ac:dyDescent="0.25">
      <c r="H39" t="s">
        <v>467</v>
      </c>
    </row>
    <row r="41" spans="8:8" x14ac:dyDescent="0.25">
      <c r="H41" t="s">
        <v>468</v>
      </c>
    </row>
    <row r="42" spans="8:8" x14ac:dyDescent="0.25">
      <c r="H42" t="s">
        <v>469</v>
      </c>
    </row>
    <row r="43" spans="8:8" x14ac:dyDescent="0.25">
      <c r="H43" t="s">
        <v>470</v>
      </c>
    </row>
    <row r="44" spans="8:8" x14ac:dyDescent="0.25">
      <c r="H44" t="s">
        <v>471</v>
      </c>
    </row>
    <row r="45" spans="8:8" x14ac:dyDescent="0.25">
      <c r="H45" t="s">
        <v>472</v>
      </c>
    </row>
    <row r="46" spans="8:8" x14ac:dyDescent="0.25">
      <c r="H46" t="s">
        <v>473</v>
      </c>
    </row>
    <row r="47" spans="8:8" x14ac:dyDescent="0.25">
      <c r="H47" t="s">
        <v>474</v>
      </c>
    </row>
    <row r="48" spans="8:8" x14ac:dyDescent="0.25">
      <c r="H48" t="s">
        <v>475</v>
      </c>
    </row>
    <row r="50" spans="8:8" x14ac:dyDescent="0.25">
      <c r="H50" t="s">
        <v>476</v>
      </c>
    </row>
    <row r="51" spans="8:8" x14ac:dyDescent="0.25">
      <c r="H51" t="s">
        <v>477</v>
      </c>
    </row>
    <row r="52" spans="8:8" x14ac:dyDescent="0.25">
      <c r="H52" t="s">
        <v>478</v>
      </c>
    </row>
    <row r="53" spans="8:8" x14ac:dyDescent="0.25">
      <c r="H53" t="s">
        <v>479</v>
      </c>
    </row>
    <row r="55" spans="8:8" x14ac:dyDescent="0.25">
      <c r="H55" t="s">
        <v>123</v>
      </c>
    </row>
    <row r="56" spans="8:8" x14ac:dyDescent="0.25">
      <c r="H56" t="s">
        <v>199</v>
      </c>
    </row>
    <row r="57" spans="8:8" x14ac:dyDescent="0.25">
      <c r="H57" t="s">
        <v>200</v>
      </c>
    </row>
    <row r="58" spans="8:8" x14ac:dyDescent="0.25">
      <c r="H58" t="s">
        <v>201</v>
      </c>
    </row>
    <row r="59" spans="8:8" x14ac:dyDescent="0.25">
      <c r="H59" t="s">
        <v>202</v>
      </c>
    </row>
    <row r="60" spans="8:8" x14ac:dyDescent="0.25">
      <c r="H60" t="s">
        <v>203</v>
      </c>
    </row>
    <row r="61" spans="8:8" x14ac:dyDescent="0.25">
      <c r="H61" t="s">
        <v>480</v>
      </c>
    </row>
    <row r="62" spans="8:8" x14ac:dyDescent="0.25">
      <c r="H62" t="s">
        <v>481</v>
      </c>
    </row>
    <row r="63" spans="8:8" x14ac:dyDescent="0.25">
      <c r="H63" t="s">
        <v>482</v>
      </c>
    </row>
    <row r="64" spans="8:8" x14ac:dyDescent="0.25">
      <c r="H64" t="s">
        <v>483</v>
      </c>
    </row>
    <row r="65" spans="8:8" x14ac:dyDescent="0.25">
      <c r="H65" t="s">
        <v>204</v>
      </c>
    </row>
    <row r="66" spans="8:8" x14ac:dyDescent="0.25">
      <c r="H66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2020-06-17T03:01:27Z</dcterms:modified>
</cp:coreProperties>
</file>