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IWF_SimuCam_Development\FPGA_Developments\UART_Module\References\"/>
    </mc:Choice>
  </mc:AlternateContent>
  <xr:revisionPtr revIDLastSave="0" documentId="13_ncr:1_{5EE35853-81A1-4604-ABCA-7595BA32BFEB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1" i="1" l="1"/>
  <c r="Q11" i="1"/>
  <c r="R10" i="1"/>
  <c r="Q10" i="1"/>
  <c r="R9" i="1"/>
  <c r="Q9" i="1"/>
  <c r="R8" i="1"/>
  <c r="Q8" i="1"/>
  <c r="R7" i="1"/>
  <c r="Q7" i="1"/>
  <c r="R6" i="1"/>
  <c r="Q6" i="1"/>
  <c r="Q5" i="1"/>
  <c r="R5" i="1"/>
  <c r="D23" i="5" l="1"/>
  <c r="Y4" i="1" l="1"/>
  <c r="Z4" i="1"/>
  <c r="X4" i="1"/>
  <c r="W4" i="1"/>
  <c r="U4" i="1"/>
  <c r="V4" i="1" l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9" i="5" l="1"/>
  <c r="D28" i="5"/>
  <c r="D27" i="5"/>
  <c r="D26" i="5"/>
  <c r="D25" i="5"/>
  <c r="D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S5" i="1" s="1"/>
  <c r="S6" i="1" s="1"/>
  <c r="X6" i="1" l="1"/>
  <c r="T6" i="1"/>
  <c r="W6" i="1"/>
  <c r="Z6" i="1"/>
  <c r="S7" i="1"/>
  <c r="Y6" i="1"/>
  <c r="U6" i="1"/>
  <c r="V6" i="1" s="1"/>
  <c r="T5" i="1"/>
  <c r="U5" i="1"/>
  <c r="V5" i="1" s="1"/>
  <c r="Z5" i="1"/>
  <c r="Y5" i="1"/>
  <c r="W5" i="1"/>
  <c r="X5" i="1"/>
  <c r="AH6" i="1" l="1"/>
  <c r="AD6" i="1"/>
  <c r="AE6" i="1"/>
  <c r="AA6" i="1"/>
  <c r="AG6" i="1"/>
  <c r="AC6" i="1"/>
  <c r="Z7" i="1"/>
  <c r="Y7" i="1"/>
  <c r="U7" i="1"/>
  <c r="V7" i="1" s="1"/>
  <c r="X7" i="1"/>
  <c r="T7" i="1"/>
  <c r="W7" i="1"/>
  <c r="S8" i="1"/>
  <c r="AF6" i="1"/>
  <c r="AB6" i="1"/>
  <c r="AC5" i="1"/>
  <c r="AG5" i="1"/>
  <c r="AD5" i="1"/>
  <c r="AH5" i="1"/>
  <c r="AF5" i="1"/>
  <c r="AB5" i="1"/>
  <c r="AA5" i="1"/>
  <c r="AE5" i="1"/>
  <c r="AG7" i="1" l="1"/>
  <c r="AC7" i="1"/>
  <c r="AH7" i="1"/>
  <c r="AD7" i="1"/>
  <c r="AE7" i="1"/>
  <c r="AA7" i="1"/>
  <c r="AF7" i="1"/>
  <c r="AB7" i="1"/>
  <c r="X8" i="1"/>
  <c r="T8" i="1"/>
  <c r="Z8" i="1"/>
  <c r="U8" i="1"/>
  <c r="V8" i="1" s="1"/>
  <c r="W8" i="1"/>
  <c r="S9" i="1"/>
  <c r="Y8" i="1"/>
  <c r="AE8" i="1" l="1"/>
  <c r="AA8" i="1"/>
  <c r="AG8" i="1"/>
  <c r="AC8" i="1"/>
  <c r="AH8" i="1"/>
  <c r="AD8" i="1"/>
  <c r="Z9" i="1"/>
  <c r="S10" i="1"/>
  <c r="Y9" i="1"/>
  <c r="X9" i="1"/>
  <c r="T9" i="1"/>
  <c r="U9" i="1"/>
  <c r="V9" i="1" s="1"/>
  <c r="W9" i="1"/>
  <c r="AF8" i="1"/>
  <c r="AB8" i="1"/>
  <c r="X10" i="1" l="1"/>
  <c r="T10" i="1"/>
  <c r="W10" i="1"/>
  <c r="Z10" i="1"/>
  <c r="S11" i="1"/>
  <c r="U10" i="1"/>
  <c r="V10" i="1" s="1"/>
  <c r="Y10" i="1"/>
  <c r="AH9" i="1"/>
  <c r="AD9" i="1"/>
  <c r="AF9" i="1"/>
  <c r="AB9" i="1"/>
  <c r="AE9" i="1"/>
  <c r="AA9" i="1"/>
  <c r="AG9" i="1"/>
  <c r="AC9" i="1"/>
  <c r="AH10" i="1" l="1"/>
  <c r="AD10" i="1"/>
  <c r="AC10" i="1"/>
  <c r="AG10" i="1"/>
  <c r="AE10" i="1"/>
  <c r="AA10" i="1"/>
  <c r="Z11" i="1"/>
  <c r="Y11" i="1"/>
  <c r="X11" i="1"/>
  <c r="T11" i="1"/>
  <c r="W11" i="1"/>
  <c r="U11" i="1"/>
  <c r="V11" i="1" s="1"/>
  <c r="AF10" i="1"/>
  <c r="AB10" i="1"/>
  <c r="AG11" i="1" l="1"/>
  <c r="AC11" i="1"/>
  <c r="AA11" i="1"/>
  <c r="AE11" i="1"/>
  <c r="AH11" i="1"/>
  <c r="AD11" i="1"/>
  <c r="AF11" i="1"/>
  <c r="AB11" i="1"/>
</calcChain>
</file>

<file path=xl/sharedStrings.xml><?xml version="1.0" encoding="utf-8"?>
<sst xmlns="http://schemas.openxmlformats.org/spreadsheetml/2006/main" count="466" uniqueCount="273">
  <si>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</si>
  <si>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</si>
  <si>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</si>
  <si>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</si>
  <si>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</si>
  <si>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</si>
  <si>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</si>
  <si>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</si>
  <si>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</si>
  <si>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</si>
  <si>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</si>
  <si>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</si>
  <si>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</si>
  <si>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</si>
  <si>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</si>
  <si>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</si>
  <si>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</si>
  <si>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</si>
  <si>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</si>
  <si>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</si>
  <si>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</si>
  <si>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</si>
  <si>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</si>
  <si>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</si>
  <si>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</si>
  <si>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</si>
  <si>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</si>
  <si>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</si>
  <si>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</si>
  <si>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</si>
  <si>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</si>
  <si>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</si>
  <si>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</si>
  <si>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</si>
  <si>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</si>
  <si>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</si>
  <si>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</si>
  <si>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</si>
  <si>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</si>
  <si>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</si>
  <si>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</si>
  <si>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</si>
  <si>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</si>
  <si>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</si>
  <si>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</si>
  <si>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</si>
  <si>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</si>
  <si>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</si>
  <si>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</si>
  <si>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</si>
  <si>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</si>
  <si>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</si>
  <si>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</si>
  <si>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</si>
  <si>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</si>
  <si>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</si>
  <si>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</si>
  <si>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</si>
  <si>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</si>
  <si>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</si>
  <si>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</si>
  <si>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</si>
  <si>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</si>
  <si>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</si>
  <si>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</si>
  <si>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</si>
  <si>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</si>
  <si>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</si>
  <si>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</si>
  <si>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</si>
  <si>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</si>
  <si>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</si>
  <si>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</si>
  <si>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</si>
  <si>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</si>
  <si>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</si>
  <si>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</si>
  <si>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</si>
  <si>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</si>
  <si>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</si>
  <si>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</si>
  <si>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</si>
  <si>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</si>
  <si>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</si>
  <si>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</si>
  <si>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</si>
  <si>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</si>
  <si>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</si>
  <si>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</si>
  <si>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</si>
  <si>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</si>
  <si>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</si>
  <si>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</si>
  <si>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</si>
  <si>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</si>
  <si>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</si>
  <si>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</si>
  <si>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</si>
  <si>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</si>
  <si>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</si>
  <si>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</si>
  <si>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</si>
  <si>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</si>
  <si>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</si>
  <si>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</si>
  <si>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</si>
  <si>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</si>
  <si>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</si>
  <si>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</si>
  <si>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</si>
  <si>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</si>
  <si>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</si>
  <si>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</si>
  <si>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</si>
  <si>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</si>
  <si>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</si>
  <si>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</si>
  <si>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</si>
  <si>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</si>
  <si>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</si>
  <si>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</si>
  <si>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</si>
  <si>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</si>
  <si>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</si>
  <si>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</si>
  <si>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</si>
  <si>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</si>
  <si>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(others =&gt; '0')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</si>
  <si>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</si>
  <si>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</si>
  <si>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</si>
  <si>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</si>
  <si>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</si>
  <si>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</si>
  <si>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</si>
  <si>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>bEmpty</t>
  </si>
  <si>
    <t>bFull</t>
  </si>
  <si>
    <t>TRmapMemArea</t>
  </si>
  <si>
    <t>uart_tx_wrdata</t>
  </si>
  <si>
    <t>uart_rx_rdreq</t>
  </si>
  <si>
    <t>t_uart_write_registers</t>
  </si>
  <si>
    <t>uart_tx_full</t>
  </si>
  <si>
    <t>uart_tx_usedw</t>
  </si>
  <si>
    <t>uart_rx_empty</t>
  </si>
  <si>
    <t>uart_rx_rddata</t>
  </si>
  <si>
    <t>uart_rx_usedw</t>
  </si>
  <si>
    <t>t_uart_read_registers</t>
  </si>
  <si>
    <t>UART Tx Buffer Control Register</t>
  </si>
  <si>
    <t>UART Tx Buffer Status Register</t>
  </si>
  <si>
    <t>UART Rx Buffer Control Register</t>
  </si>
  <si>
    <t>UART Rx Buffer Status Register</t>
  </si>
  <si>
    <t>Tx Buffer Write Requisition</t>
  </si>
  <si>
    <t>Tx Buffer Write Data</t>
  </si>
  <si>
    <t>Tx Buffer Full</t>
  </si>
  <si>
    <t>Tx Buffer Used Words [Bytes]</t>
  </si>
  <si>
    <t>Rx Buffer Read Requisition</t>
  </si>
  <si>
    <t>Rx Buffer Empty</t>
  </si>
  <si>
    <t>Rx Buffer Read Data</t>
  </si>
  <si>
    <t>Rx Buffer Used Words [Bytes]</t>
  </si>
  <si>
    <t>uart_tx_buffer_control_reg</t>
  </si>
  <si>
    <t>uart_rx_buffer_control_reg</t>
  </si>
  <si>
    <t>uart_tx_buffer_status_reg</t>
  </si>
  <si>
    <t>uart_rx_buffer_status_reg</t>
  </si>
  <si>
    <t>t_uart_uart_tx_buffer_control_wr_reg</t>
  </si>
  <si>
    <t>t_uart_uart_tx_buffer_status_rd_reg</t>
  </si>
  <si>
    <t>t_uart_uart_rx_buffer_control_wr_reg</t>
  </si>
  <si>
    <t>t_uart_uart_rx_buffer_status_rd_reg</t>
  </si>
  <si>
    <t>UartModule</t>
  </si>
  <si>
    <t>UartTxBufferControl</t>
  </si>
  <si>
    <t>UartRxBufferControl</t>
  </si>
  <si>
    <t>UartRxBufferStatus</t>
  </si>
  <si>
    <t>UartTxBufferStatus</t>
  </si>
  <si>
    <t>bWrReq</t>
  </si>
  <si>
    <t>ucWrData</t>
  </si>
  <si>
    <t>usiUsedW</t>
  </si>
  <si>
    <t>ucRdData</t>
  </si>
  <si>
    <t>bRdReq</t>
  </si>
  <si>
    <t>c_AVALON_MM_UART_MAX_ADDR</t>
  </si>
  <si>
    <t>c_AVALON_MM_UART_MIN_ADDR</t>
  </si>
  <si>
    <t>constant c_AVALON_MM_UART_MIN_ADDR : natural range 0 to 255 := 16#00#;</t>
  </si>
  <si>
    <t>constant c_AVALON_MM_UART_MAX_ADDR : natural range 0 to 255 := 16#06#;</t>
  </si>
  <si>
    <t>-- UART Tx Buffer Control Register</t>
  </si>
  <si>
    <t>type t_uart_uart_tx_buffer_control_wr_reg is record</t>
  </si>
  <si>
    <t xml:space="preserve">  uart_tx_wrdata : std_logic_vector(7 downto 0); -- Tx Buffer Write Data</t>
  </si>
  <si>
    <t>end record t_uart_uart_tx_buffer_control_wr_reg;</t>
  </si>
  <si>
    <t>-- UART Tx Buffer Status Register</t>
  </si>
  <si>
    <t>type t_uart_uart_tx_buffer_status_rd_reg is record</t>
  </si>
  <si>
    <t xml:space="preserve">  uart_tx_full : std_logic; -- Tx Buffer Full</t>
  </si>
  <si>
    <t xml:space="preserve">  uart_tx_usedw : std_logic_vector(14 downto 0); -- Tx Buffer Used Words [Bytes]</t>
  </si>
  <si>
    <t>end record t_uart_uart_tx_buffer_status_rd_reg;</t>
  </si>
  <si>
    <t>-- UART Rx Buffer Control Register</t>
  </si>
  <si>
    <t>type t_uart_uart_rx_buffer_control_wr_reg is record</t>
  </si>
  <si>
    <t xml:space="preserve">  uart_rx_rdreq : std_logic; -- Rx Buffer Read Requisition</t>
  </si>
  <si>
    <t>end record t_uart_uart_rx_buffer_control_wr_reg;</t>
  </si>
  <si>
    <t>-- UART Rx Buffer Status Register</t>
  </si>
  <si>
    <t>type t_uart_uart_rx_buffer_status_rd_reg is record</t>
  </si>
  <si>
    <t xml:space="preserve">  uart_rx_empty : std_logic; -- Rx Buffer Empty</t>
  </si>
  <si>
    <t xml:space="preserve">  uart_rx_rddata : std_logic_vector(7 downto 0); -- Rx Buffer Read Data</t>
  </si>
  <si>
    <t xml:space="preserve">  uart_rx_usedw : std_logic_vector(14 downto 0); -- Rx Buffer Used Words [Bytes]</t>
  </si>
  <si>
    <t>end record t_uart_uart_rx_buffer_status_rd_reg;</t>
  </si>
  <si>
    <t>type t_uart_write_registers is record</t>
  </si>
  <si>
    <t xml:space="preserve">  uart_tx_buffer_control_reg : t_uart_uart_tx_buffer_control_wr_reg; -- UART Tx Buffer Control Register</t>
  </si>
  <si>
    <t xml:space="preserve">  uart_rx_buffer_control_reg : t_uart_uart_rx_buffer_control_wr_reg; -- UART Rx Buffer Control Register</t>
  </si>
  <si>
    <t>end record t_uart_write_registers;</t>
  </si>
  <si>
    <t>type t_uart_read_registers is record</t>
  </si>
  <si>
    <t xml:space="preserve">  uart_tx_buffer_status_reg : t_uart_uart_tx_buffer_status_rd_reg; -- UART Tx Buffer Status Register</t>
  </si>
  <si>
    <t xml:space="preserve">  uart_rx_buffer_status_reg : t_uart_uart_rx_buffer_status_rd_reg; -- UART Rx Buffer Status Register</t>
  </si>
  <si>
    <t>end record t_uart_read_registers;</t>
  </si>
  <si>
    <t>avalon_mm_uart_i</t>
  </si>
  <si>
    <t>avalon_mm_uart_o</t>
  </si>
  <si>
    <t>uart_write_registers_i</t>
  </si>
  <si>
    <t>uart_read_registers_i</t>
  </si>
  <si>
    <t xml:space="preserve">      -- UART Tx Buffer Control Register : Tx Buffer Write Requisition</t>
  </si>
  <si>
    <t xml:space="preserve">    if (avalon_mm_uart_i.byteenable(0) = '1') then</t>
  </si>
  <si>
    <t xml:space="preserve">      -- UART Tx Buffer Control Register : Tx Buffer Write Data</t>
  </si>
  <si>
    <t xml:space="preserve">      avalon_mm_uart_o.readdata(7 downto 0) &lt;= uart_write_registers_i.uart_tx_buffer_control_reg.uart_tx_wrdata;</t>
  </si>
  <si>
    <t xml:space="preserve">      -- UART Tx Buffer Status Register : Tx Buffer Full</t>
  </si>
  <si>
    <t xml:space="preserve">      avalon_mm_uart_o.readdata(0) &lt;= uart_read_registers_i.uart_tx_buffer_status_reg.uart_tx_full;</t>
  </si>
  <si>
    <t xml:space="preserve">      -- UART Tx Buffer Status Register : Tx Buffer Used Words [Bytes]</t>
  </si>
  <si>
    <t xml:space="preserve">      avalon_mm_uart_o.readdata(7 downto 0) &lt;= uart_read_registers_i.uart_tx_buffer_status_reg.uart_tx_usedw(7 downto 0);</t>
  </si>
  <si>
    <t xml:space="preserve">    if (avalon_mm_uart_i.byteenable(1) = '1') then</t>
  </si>
  <si>
    <t xml:space="preserve">      avalon_mm_uart_o.readdata(14 downto 8) &lt;= uart_read_registers_i.uart_tx_buffer_status_reg.uart_tx_usedw(14 downto 8);</t>
  </si>
  <si>
    <t xml:space="preserve">      -- UART Rx Buffer Control Register : Rx Buffer Read Requisition</t>
  </si>
  <si>
    <t xml:space="preserve">      avalon_mm_uart_o.readdata(0) &lt;= uart_write_registers_i.uart_rx_buffer_control_reg.uart_rx_rdreq;</t>
  </si>
  <si>
    <t xml:space="preserve">      -- UART Rx Buffer Status Register : Rx Buffer Empty</t>
  </si>
  <si>
    <t xml:space="preserve">      avalon_mm_uart_o.readdata(0) &lt;= uart_read_registers_i.uart_rx_buffer_status_reg.uart_rx_empty;</t>
  </si>
  <si>
    <t xml:space="preserve">      -- UART Rx Buffer Status Register : Rx Buffer Read Data</t>
  </si>
  <si>
    <t xml:space="preserve">      avalon_mm_uart_o.readdata(7 downto 0) &lt;= uart_read_registers_i.uart_rx_buffer_status_reg.uart_rx_rddata;</t>
  </si>
  <si>
    <t xml:space="preserve">      -- UART Rx Buffer Status Register : Rx Buffer Used Words [Bytes]</t>
  </si>
  <si>
    <t xml:space="preserve">    if (avalon_mm_uart_i.byteenable(2) = '1') then</t>
  </si>
  <si>
    <t xml:space="preserve">      avalon_mm_uart_o.readdata(23 downto 16) &lt;= uart_read_registers_i.uart_rx_buffer_status_reg.uart_rx_usedw(7 downto 0);</t>
  </si>
  <si>
    <t xml:space="preserve">    if (avalon_mm_uart_i.byteenable(3) = '1') then</t>
  </si>
  <si>
    <t xml:space="preserve">      avalon_mm_uart_o.readdata(30 downto 24) &lt;= uart_read_registers_i.uart_rx_buffer_status_reg.uart_rx_usedw(14 downto 8);</t>
  </si>
  <si>
    <t xml:space="preserve">    avalon_mm_uart_o.readdata &lt;= (others =&gt; '0');</t>
  </si>
  <si>
    <t>uart_write_registers_o</t>
  </si>
  <si>
    <t xml:space="preserve">      uart_write_registers_o.uart_tx_buffer_control_reg.uart_tx_wrdata &lt;= avalon_mm_uart_i.writedata(7 downto 0);</t>
  </si>
  <si>
    <t xml:space="preserve">      uart_write_registers_o.uart_rx_buffer_control_reg.uart_rx_rdreq &lt;= avalon_mm_uart_i.writedata(0);</t>
  </si>
  <si>
    <t>-- UART Tx Buffer Control Register : Tx Buffer Write Requisition</t>
  </si>
  <si>
    <t>-- UART Tx Buffer Control Register : Tx Buffer Write Data</t>
  </si>
  <si>
    <t>uart_write_registers_o.uart_tx_buffer_control_reg.uart_tx_wrdata &lt;= (others =&gt; '0');</t>
  </si>
  <si>
    <t>-- UART Rx Buffer Control Register : Rx Buffer Read Requisition</t>
  </si>
  <si>
    <t>uart_write_registers_o.uart_rx_buffer_control_reg.uart_rx_rdreq &lt;= '0';</t>
  </si>
  <si>
    <t xml:space="preserve"> /* UART Tx Buffer Control Register Struct */</t>
  </si>
  <si>
    <t>typedef struct UartTxBufferControl {</t>
  </si>
  <si>
    <t xml:space="preserve">  bool bWrReq; /* Tx Buffer Write Requisition */</t>
  </si>
  <si>
    <t xml:space="preserve">  alt_u8 ucWrData; /* Tx Buffer Write Data */</t>
  </si>
  <si>
    <t xml:space="preserve">  bool bFull; /* Tx Buffer Full */</t>
  </si>
  <si>
    <t>} TUartTxBufferControl;</t>
  </si>
  <si>
    <t xml:space="preserve"> /* UART Tx Buffer Status Register Struct */</t>
  </si>
  <si>
    <t>typedef struct UartTxBufferStatus {</t>
  </si>
  <si>
    <t xml:space="preserve">  alt_u16 usiUsedW; /* Tx Buffer Used Words [Bytes] */</t>
  </si>
  <si>
    <t>} TUartTxBufferStatus;</t>
  </si>
  <si>
    <t xml:space="preserve"> /* UART Rx Buffer Control Register Struct */</t>
  </si>
  <si>
    <t>typedef struct UartRxBufferControl {</t>
  </si>
  <si>
    <t xml:space="preserve">  bool bRdReq; /* Rx Buffer Read Requisition */</t>
  </si>
  <si>
    <t>} TUartRxBufferControl;</t>
  </si>
  <si>
    <t xml:space="preserve"> /* UART Rx Buffer Status Register Struct */</t>
  </si>
  <si>
    <t>typedef struct UartRxBufferStatus {</t>
  </si>
  <si>
    <t xml:space="preserve">  bool bEmpty; /* Rx Buffer Empty */</t>
  </si>
  <si>
    <t xml:space="preserve">  alt_u8 ucRdData; /* Rx Buffer Read Data */</t>
  </si>
  <si>
    <t xml:space="preserve">  alt_u16 usiUsedW; /* Rx Buffer Used Words [Bytes] */</t>
  </si>
  <si>
    <t>} TUartRxBufferStatus;</t>
  </si>
  <si>
    <t>typedef struct UartModule {</t>
  </si>
  <si>
    <t xml:space="preserve">  TUartTxBufferControl xUartTxBufferControl;</t>
  </si>
  <si>
    <t xml:space="preserve">  TUartTxBufferStatus xUartTxBufferStatus;</t>
  </si>
  <si>
    <t xml:space="preserve">  TUartRxBufferControl xUartRxBufferControl;</t>
  </si>
  <si>
    <t xml:space="preserve">  TUartRxBufferStatus xUartRxBufferStatus;</t>
  </si>
  <si>
    <t>} TUartModule;</t>
  </si>
  <si>
    <t>uart_tx_wrreq</t>
  </si>
  <si>
    <t xml:space="preserve">  uart_tx_wrreq : std_logic; -- Tx Buffer Write Requisition</t>
  </si>
  <si>
    <t xml:space="preserve">      avalon_mm_uart_o.readdata(0) &lt;= uart_write_registers_i.uart_tx_buffer_control_reg.uart_tx_wrreq;</t>
  </si>
  <si>
    <t xml:space="preserve">      uart_write_registers_o.uart_tx_buffer_control_reg.uart_tx_wrreq &lt;= avalon_mm_uart_i.writedata(0);</t>
  </si>
  <si>
    <t>uart_write_registers_o.uart_tx_buffer_control_reg.uart_tx_wrreq &lt;= '0';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</si>
</sst>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61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118</v>
      </c>
      <c r="AB2" s="29"/>
      <c r="AC2" s="29"/>
      <c r="AD2" s="29"/>
      <c r="AE2" s="29" t="s">
        <v>23</v>
      </c>
      <c r="AF2" s="29"/>
      <c r="AG2" s="29"/>
      <c r="AH2" s="29"/>
      <c r="AI2" s="9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6"/>
      <c r="B4" s="3" t="s">
        <v>147</v>
      </c>
      <c r="C4" s="3" t="s">
        <v>151</v>
      </c>
      <c r="D4" s="3" t="s">
        <v>1</v>
      </c>
      <c r="E4" s="3" t="s">
        <v>140</v>
      </c>
      <c r="F4" s="3" t="s">
        <v>159</v>
      </c>
      <c r="G4" s="3" t="s">
        <v>163</v>
      </c>
      <c r="H4" s="3" t="s">
        <v>268</v>
      </c>
      <c r="I4" s="3" t="s">
        <v>42</v>
      </c>
      <c r="J4" s="3">
        <v>1</v>
      </c>
      <c r="K4" s="8" t="s">
        <v>82</v>
      </c>
      <c r="L4" s="8" t="s">
        <v>82</v>
      </c>
      <c r="M4" s="3" t="s">
        <v>167</v>
      </c>
      <c r="N4" s="3" t="s">
        <v>168</v>
      </c>
      <c r="O4" s="3" t="s">
        <v>172</v>
      </c>
      <c r="P4" s="3" t="s">
        <v>5</v>
      </c>
      <c r="Q4" s="3">
        <f>INDEX(Tables!$C$4:$C$29,MATCH($P4,Tables!$B$4:$B$29,0))</f>
        <v>32</v>
      </c>
      <c r="R4" s="3">
        <f>INDEX(Tables!$D$4:$D$29,MATCH($P4,Tables!$B$4:$B$29,0))</f>
        <v>4</v>
      </c>
      <c r="S4" s="3">
        <v>0</v>
      </c>
      <c r="T4" s="3" t="str">
        <f t="shared" ref="T4:T11" si="0">DEC2HEX($S4,3)</f>
        <v>000</v>
      </c>
      <c r="U4" s="3">
        <f>ROUNDDOWN(S4/4,0)</f>
        <v>0</v>
      </c>
      <c r="V4" s="3" t="str">
        <f t="shared" ref="V4:V11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147</v>
      </c>
      <c r="C5" s="3" t="s">
        <v>152</v>
      </c>
      <c r="D5" s="3" t="s">
        <v>1</v>
      </c>
      <c r="E5" s="3" t="s">
        <v>140</v>
      </c>
      <c r="F5" s="3" t="s">
        <v>159</v>
      </c>
      <c r="G5" s="3" t="s">
        <v>163</v>
      </c>
      <c r="H5" s="3" t="s">
        <v>138</v>
      </c>
      <c r="I5" s="3" t="s">
        <v>42</v>
      </c>
      <c r="J5" s="3">
        <v>8</v>
      </c>
      <c r="K5" s="8" t="s">
        <v>127</v>
      </c>
      <c r="L5" s="8" t="s">
        <v>41</v>
      </c>
      <c r="M5" s="3" t="s">
        <v>167</v>
      </c>
      <c r="N5" s="3" t="s">
        <v>168</v>
      </c>
      <c r="O5" s="3" t="s">
        <v>173</v>
      </c>
      <c r="P5" s="3" t="s">
        <v>48</v>
      </c>
      <c r="Q5" s="3">
        <f>INDEX(Tables!$C$4:$C$29,MATCH($P5,Tables!$B$4:$B$29,0))</f>
        <v>8</v>
      </c>
      <c r="R5" s="3">
        <f>INDEX(Tables!$D$4:$D$29,MATCH($P5,Tables!$B$4:$B$29,0))</f>
        <v>1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11" si="11">IF(MOD($S5,4)=3,"X",IF(AND(MOD($S5,4)=2,$J5&gt;8),"X",IF(AND(MOD($S5,4)=1,$J5&gt;16),"X",IF(AND(MOD($S5,4)=0,$J5&gt;24),"X",""))))</f>
        <v/>
      </c>
      <c r="X5" s="3" t="str">
        <f t="shared" ref="X5:X11" si="12">IF(MOD($S5,4)=2,"X",IF(AND(MOD($S5,4)=1,$J5&gt;8),"X",IF(AND(MOD($S5,4)=0,$J5&gt;16),"X","")))</f>
        <v/>
      </c>
      <c r="Y5" s="3" t="str">
        <f t="shared" ref="Y5:Y11" si="13">IF(MOD($S5,4)=1,"X",IF(AND(MOD($S5,4)=0,$J5&gt;8),"X",""))</f>
        <v/>
      </c>
      <c r="Z5" s="3" t="str">
        <f t="shared" ref="Z5:Z1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(7 downto 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153</v>
      </c>
      <c r="D6" s="3" t="s">
        <v>0</v>
      </c>
      <c r="E6" s="3" t="s">
        <v>146</v>
      </c>
      <c r="F6" s="3" t="s">
        <v>161</v>
      </c>
      <c r="G6" s="3" t="s">
        <v>164</v>
      </c>
      <c r="H6" s="3" t="s">
        <v>141</v>
      </c>
      <c r="I6" s="3" t="s">
        <v>42</v>
      </c>
      <c r="J6" s="3">
        <v>1</v>
      </c>
      <c r="K6" s="8" t="s">
        <v>41</v>
      </c>
      <c r="L6" s="8" t="s">
        <v>41</v>
      </c>
      <c r="M6" s="3" t="s">
        <v>167</v>
      </c>
      <c r="N6" s="3" t="s">
        <v>171</v>
      </c>
      <c r="O6" s="3" t="s">
        <v>136</v>
      </c>
      <c r="P6" s="3" t="s">
        <v>5</v>
      </c>
      <c r="Q6" s="3">
        <f>INDEX(Tables!$C$4:$C$29,MATCH($P6,Tables!$B$4:$B$29,0))</f>
        <v>32</v>
      </c>
      <c r="R6" s="3">
        <f>INDEX(Tables!$D$4:$D$29,MATCH($P6,Tables!$B$4:$B$29,0))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11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11" si="16">IF(W6="","",CONCATENATE("(",IF(($J6-COUNTIF($X6:$Z6,"X")*8)=1,"24)",CONCATENATE(IF(($J6-COUNTIF($X6:$Z6,"X")*8)&gt;=8,32,($J6-COUNTIF($X6:$Z6,"X")*8)+24)-1," downto 24)"))))</f>
        <v/>
      </c>
      <c r="AB6" s="3" t="str">
        <f t="shared" ref="AB6:AB11" si="17">IF(X6="","",CONCATENATE("(",IF(($J6-COUNTIF($Y6:$Z6,"X")*8)=1,"16)",CONCATENATE(IF(($J6-COUNTIF($Y6:$Z6,"X")*8)&gt;=8,24,($J6-COUNTIF($Y6:$Z6,"X")*8)+16)-1," downto 16)"))))</f>
        <v/>
      </c>
      <c r="AC6" s="3" t="str">
        <f t="shared" ref="AC6:AC11" si="18">IF(Y6="","",CONCATENATE("(",IF(($J6-COUNTIF($Z6,"X")*8)=1,"8)",CONCATENATE(IF(($J6-COUNTIF($Z6,"X")*8)&gt;=8,16,($J6-COUNTIF($Z6,"X")*8)+8)-1," downto 8)"))))</f>
        <v/>
      </c>
      <c r="AD6" s="3" t="str">
        <f t="shared" ref="AD6:AD11" si="19">IF(Z6="","",CONCATENATE("(",IF($J6=1,"0)",CONCATENATE(IF($J6&gt;=8,8,$J6)-1," downto 0)"))))</f>
        <v>(0)</v>
      </c>
      <c r="AE6" s="3" t="str">
        <f t="shared" ref="AE6:AE11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11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11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11" si="23">IF(Z6="","",IF($J6&lt;=8,"",CONCATENATE("(",IF($J6&gt;=8,7,$J6-1)," downto ",0,")")))</f>
        <v/>
      </c>
    </row>
    <row r="7" spans="1:35" x14ac:dyDescent="0.25">
      <c r="B7" s="3" t="s">
        <v>148</v>
      </c>
      <c r="C7" s="3" t="s">
        <v>154</v>
      </c>
      <c r="D7" s="3" t="s">
        <v>0</v>
      </c>
      <c r="E7" s="3" t="s">
        <v>146</v>
      </c>
      <c r="F7" s="3" t="s">
        <v>161</v>
      </c>
      <c r="G7" s="3" t="s">
        <v>164</v>
      </c>
      <c r="H7" s="3" t="s">
        <v>142</v>
      </c>
      <c r="I7" s="3" t="s">
        <v>42</v>
      </c>
      <c r="J7" s="3">
        <v>15</v>
      </c>
      <c r="K7" s="8" t="s">
        <v>41</v>
      </c>
      <c r="L7" s="8" t="s">
        <v>41</v>
      </c>
      <c r="M7" s="3" t="s">
        <v>167</v>
      </c>
      <c r="N7" s="3" t="s">
        <v>171</v>
      </c>
      <c r="O7" s="3" t="s">
        <v>174</v>
      </c>
      <c r="P7" s="3" t="s">
        <v>50</v>
      </c>
      <c r="Q7" s="3">
        <f>INDEX(Tables!$C$4:$C$29,MATCH($P7,Tables!$B$4:$B$29,0))</f>
        <v>16</v>
      </c>
      <c r="R7" s="3">
        <f>INDEX(Tables!$D$4:$D$29,MATCH($P7,Tables!$B$4:$B$29,0))</f>
        <v>2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>X</v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>(14 downto 8)</v>
      </c>
      <c r="AD7" s="3" t="str">
        <f t="shared" si="19"/>
        <v>(7 downto 0)</v>
      </c>
      <c r="AE7" s="3" t="str">
        <f t="shared" si="20"/>
        <v/>
      </c>
      <c r="AF7" s="3" t="str">
        <f t="shared" si="21"/>
        <v/>
      </c>
      <c r="AG7" s="3" t="str">
        <f t="shared" si="22"/>
        <v>(14 downto 8)</v>
      </c>
      <c r="AH7" s="3" t="str">
        <f t="shared" si="23"/>
        <v>(7 downto 0)</v>
      </c>
    </row>
    <row r="8" spans="1:35" x14ac:dyDescent="0.25">
      <c r="B8" s="3" t="s">
        <v>149</v>
      </c>
      <c r="C8" s="3" t="s">
        <v>155</v>
      </c>
      <c r="D8" s="3" t="s">
        <v>1</v>
      </c>
      <c r="E8" s="3" t="s">
        <v>140</v>
      </c>
      <c r="F8" s="3" t="s">
        <v>160</v>
      </c>
      <c r="G8" s="3" t="s">
        <v>165</v>
      </c>
      <c r="H8" s="3" t="s">
        <v>139</v>
      </c>
      <c r="I8" s="3" t="s">
        <v>42</v>
      </c>
      <c r="J8" s="3">
        <v>1</v>
      </c>
      <c r="K8" s="8" t="s">
        <v>82</v>
      </c>
      <c r="L8" s="8" t="s">
        <v>82</v>
      </c>
      <c r="M8" s="3" t="s">
        <v>167</v>
      </c>
      <c r="N8" s="3" t="s">
        <v>169</v>
      </c>
      <c r="O8" s="3" t="s">
        <v>176</v>
      </c>
      <c r="P8" s="3" t="s">
        <v>5</v>
      </c>
      <c r="Q8" s="3">
        <f>INDEX(Tables!$C$4:$C$29,MATCH($P8,Tables!$B$4:$B$29,0))</f>
        <v>32</v>
      </c>
      <c r="R8" s="3">
        <f>INDEX(Tables!$D$4:$D$29,MATCH($P8,Tables!$B$4:$B$29,0))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150</v>
      </c>
      <c r="C9" s="3" t="s">
        <v>156</v>
      </c>
      <c r="D9" s="3" t="s">
        <v>0</v>
      </c>
      <c r="E9" s="3" t="s">
        <v>146</v>
      </c>
      <c r="F9" s="3" t="s">
        <v>162</v>
      </c>
      <c r="G9" s="3" t="s">
        <v>166</v>
      </c>
      <c r="H9" s="3" t="s">
        <v>143</v>
      </c>
      <c r="I9" s="3" t="s">
        <v>42</v>
      </c>
      <c r="J9" s="3">
        <v>1</v>
      </c>
      <c r="K9" s="8" t="s">
        <v>41</v>
      </c>
      <c r="L9" s="8" t="s">
        <v>41</v>
      </c>
      <c r="M9" s="3" t="s">
        <v>167</v>
      </c>
      <c r="N9" s="3" t="s">
        <v>170</v>
      </c>
      <c r="O9" s="3" t="s">
        <v>135</v>
      </c>
      <c r="P9" s="3" t="s">
        <v>5</v>
      </c>
      <c r="Q9" s="3">
        <f>INDEX(Tables!$C$4:$C$29,MATCH($P9,Tables!$B$4:$B$29,0))</f>
        <v>32</v>
      </c>
      <c r="R9" s="3">
        <f>INDEX(Tables!$D$4:$D$29,MATCH($P9,Tables!$B$4:$B$29,0))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150</v>
      </c>
      <c r="C10" s="3" t="s">
        <v>157</v>
      </c>
      <c r="D10" s="3" t="s">
        <v>0</v>
      </c>
      <c r="E10" s="3" t="s">
        <v>146</v>
      </c>
      <c r="F10" s="3" t="s">
        <v>162</v>
      </c>
      <c r="G10" s="3" t="s">
        <v>166</v>
      </c>
      <c r="H10" s="3" t="s">
        <v>144</v>
      </c>
      <c r="I10" s="3" t="s">
        <v>42</v>
      </c>
      <c r="J10" s="3">
        <v>8</v>
      </c>
      <c r="K10" s="8" t="s">
        <v>41</v>
      </c>
      <c r="L10" s="8" t="s">
        <v>41</v>
      </c>
      <c r="M10" s="3" t="s">
        <v>167</v>
      </c>
      <c r="N10" s="3" t="s">
        <v>170</v>
      </c>
      <c r="O10" s="3" t="s">
        <v>175</v>
      </c>
      <c r="P10" s="3" t="s">
        <v>48</v>
      </c>
      <c r="Q10" s="3">
        <f>INDEX(Tables!$C$4:$C$29,MATCH($P10,Tables!$B$4:$B$29,0))</f>
        <v>8</v>
      </c>
      <c r="R10" s="3">
        <f>INDEX(Tables!$D$4:$D$29,MATCH($P10,Tables!$B$4:$B$29,0))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(7 downto 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150</v>
      </c>
      <c r="C11" s="3" t="s">
        <v>158</v>
      </c>
      <c r="D11" s="3" t="s">
        <v>0</v>
      </c>
      <c r="E11" s="3" t="s">
        <v>146</v>
      </c>
      <c r="F11" s="3" t="s">
        <v>162</v>
      </c>
      <c r="G11" s="3" t="s">
        <v>166</v>
      </c>
      <c r="H11" s="3" t="s">
        <v>145</v>
      </c>
      <c r="I11" s="3" t="s">
        <v>42</v>
      </c>
      <c r="J11" s="3">
        <v>15</v>
      </c>
      <c r="K11" s="8" t="s">
        <v>41</v>
      </c>
      <c r="L11" s="8" t="s">
        <v>41</v>
      </c>
      <c r="M11" s="3" t="s">
        <v>167</v>
      </c>
      <c r="N11" s="3" t="s">
        <v>170</v>
      </c>
      <c r="O11" s="3" t="s">
        <v>174</v>
      </c>
      <c r="P11" s="3" t="s">
        <v>50</v>
      </c>
      <c r="Q11" s="3">
        <f>INDEX(Tables!$C$4:$C$29,MATCH($P11,Tables!$B$4:$B$29,0))</f>
        <v>16</v>
      </c>
      <c r="R11" s="3">
        <f>INDEX(Tables!$D$4:$D$29,MATCH($P11,Tables!$B$4:$B$29,0))</f>
        <v>2</v>
      </c>
      <c r="S11" s="3">
        <f>$S10+$R10+INDEX(Tables!$N$5:$Q$8,MATCH(MOD($S10+$R10,4),Tables!$M$5:$M$8,0),MATCH($R11,Tables!$N$4:$Q$4,0))</f>
        <v>26</v>
      </c>
      <c r="T11" s="3" t="str">
        <f t="shared" si="0"/>
        <v>01A</v>
      </c>
      <c r="U11" s="3">
        <f t="shared" si="15"/>
        <v>6</v>
      </c>
      <c r="V11" s="3" t="str">
        <f t="shared" si="1"/>
        <v>06</v>
      </c>
      <c r="W11" s="3" t="str">
        <f t="shared" si="11"/>
        <v>X</v>
      </c>
      <c r="X11" s="3" t="str">
        <f t="shared" si="12"/>
        <v>X</v>
      </c>
      <c r="Y11" s="3" t="str">
        <f t="shared" si="13"/>
        <v/>
      </c>
      <c r="Z11" s="3" t="str">
        <f t="shared" si="14"/>
        <v/>
      </c>
      <c r="AA11" s="3" t="str">
        <f t="shared" si="16"/>
        <v>(30 downto 24)</v>
      </c>
      <c r="AB11" s="3" t="str">
        <f t="shared" si="17"/>
        <v>(23 downto 16)</v>
      </c>
      <c r="AC11" s="3" t="str">
        <f t="shared" si="18"/>
        <v/>
      </c>
      <c r="AD11" s="3" t="str">
        <f t="shared" si="19"/>
        <v/>
      </c>
      <c r="AE11" s="3" t="str">
        <f t="shared" si="20"/>
        <v>(14 downto 8)</v>
      </c>
      <c r="AF11" s="3" t="str">
        <f t="shared" si="21"/>
        <v>(7 downto 0)</v>
      </c>
      <c r="AG11" s="3" t="str">
        <f t="shared" si="22"/>
        <v/>
      </c>
      <c r="AH11" s="3" t="str">
        <f t="shared" si="23"/>
        <v/>
      </c>
    </row>
    <row r="12" spans="1:35" x14ac:dyDescent="0.25">
      <c r="K12" s="8"/>
      <c r="L12" s="8"/>
      <c r="AA12" s="3"/>
      <c r="AB12" s="3"/>
      <c r="AC12" s="3"/>
      <c r="AD12" s="3"/>
      <c r="AE12" s="3"/>
      <c r="AF12" s="3"/>
      <c r="AG12" s="3"/>
      <c r="AH12" s="3"/>
    </row>
    <row r="13" spans="1:35" x14ac:dyDescent="0.25">
      <c r="K13" s="8"/>
      <c r="L13" s="8"/>
      <c r="AA13" s="3"/>
      <c r="AB13" s="3"/>
      <c r="AC13" s="3"/>
      <c r="AD13" s="3"/>
      <c r="AE13" s="3"/>
      <c r="AF13" s="3"/>
      <c r="AG13" s="3"/>
      <c r="AH13" s="3"/>
    </row>
    <row r="14" spans="1:35" x14ac:dyDescent="0.25">
      <c r="K14" s="8"/>
      <c r="L14" s="8"/>
      <c r="AA14" s="3"/>
      <c r="AB14" s="3"/>
      <c r="AC14" s="3"/>
      <c r="AD14" s="3"/>
      <c r="AE14" s="3"/>
      <c r="AF14" s="3"/>
      <c r="AG14" s="3"/>
      <c r="AH14" s="3"/>
    </row>
    <row r="15" spans="1:35" x14ac:dyDescent="0.25">
      <c r="K15" s="8"/>
      <c r="L15" s="8"/>
      <c r="AA15" s="3"/>
      <c r="AB15" s="3"/>
      <c r="AC15" s="3"/>
      <c r="AD15" s="3"/>
      <c r="AE15" s="3"/>
      <c r="AF15" s="3"/>
      <c r="AG15" s="3"/>
      <c r="AH15" s="3"/>
    </row>
    <row r="16" spans="1:35" x14ac:dyDescent="0.25">
      <c r="K16" s="8"/>
      <c r="L16" s="8"/>
      <c r="AA16" s="3"/>
      <c r="AB16" s="3"/>
      <c r="AC16" s="3"/>
      <c r="AD16" s="3"/>
      <c r="AE16" s="3"/>
      <c r="AF16" s="3"/>
      <c r="AG16" s="3"/>
      <c r="AH16" s="3"/>
    </row>
    <row r="17" spans="11:34" x14ac:dyDescent="0.25">
      <c r="K17" s="8"/>
      <c r="L17" s="8"/>
      <c r="AA17" s="3"/>
      <c r="AB17" s="3"/>
      <c r="AC17" s="3"/>
      <c r="AD17" s="3"/>
      <c r="AE17" s="3"/>
      <c r="AF17" s="3"/>
      <c r="AG17" s="3"/>
      <c r="AH17" s="3"/>
    </row>
    <row r="18" spans="11:34" x14ac:dyDescent="0.25">
      <c r="K18" s="8"/>
      <c r="L18" s="8"/>
      <c r="AA18" s="3"/>
      <c r="AB18" s="3"/>
      <c r="AC18" s="3"/>
      <c r="AD18" s="3"/>
      <c r="AE18" s="3"/>
      <c r="AF18" s="3"/>
      <c r="AG18" s="3"/>
      <c r="AH18" s="3"/>
    </row>
    <row r="19" spans="11:34" x14ac:dyDescent="0.25">
      <c r="K19" s="8"/>
      <c r="L19" s="8"/>
      <c r="AA19" s="3"/>
      <c r="AB19" s="3"/>
      <c r="AC19" s="3"/>
      <c r="AD19" s="3"/>
      <c r="AE19" s="3"/>
      <c r="AF19" s="3"/>
      <c r="AG19" s="3"/>
      <c r="AH19" s="3"/>
    </row>
    <row r="20" spans="11:34" x14ac:dyDescent="0.25">
      <c r="K20" s="8"/>
      <c r="L20" s="8"/>
      <c r="AA20" s="3"/>
      <c r="AB20" s="3"/>
      <c r="AC20" s="3"/>
      <c r="AD20" s="3"/>
      <c r="AE20" s="3"/>
      <c r="AF20" s="3"/>
      <c r="AG20" s="3"/>
      <c r="AH20" s="3"/>
    </row>
    <row r="21" spans="11:34" x14ac:dyDescent="0.25">
      <c r="K21" s="8"/>
      <c r="L21" s="8"/>
      <c r="AA21" s="3"/>
      <c r="AB21" s="3"/>
      <c r="AC21" s="3"/>
      <c r="AD21" s="3"/>
      <c r="AE21" s="3"/>
      <c r="AF21" s="3"/>
      <c r="AG21" s="3"/>
      <c r="AH21" s="3"/>
    </row>
    <row r="22" spans="11:34" x14ac:dyDescent="0.25">
      <c r="K22" s="8"/>
      <c r="L22" s="8"/>
      <c r="AA22" s="3"/>
      <c r="AB22" s="3"/>
      <c r="AC22" s="3"/>
      <c r="AD22" s="3"/>
      <c r="AE22" s="3"/>
      <c r="AF22" s="3"/>
      <c r="AG22" s="3"/>
      <c r="AH22" s="3"/>
    </row>
    <row r="23" spans="11:34" x14ac:dyDescent="0.25">
      <c r="K23" s="8"/>
      <c r="L23" s="8"/>
      <c r="AA23" s="3"/>
      <c r="AB23" s="3"/>
      <c r="AC23" s="3"/>
      <c r="AD23" s="3"/>
      <c r="AE23" s="3"/>
      <c r="AF23" s="3"/>
      <c r="AG23" s="3"/>
      <c r="AH23" s="3"/>
    </row>
    <row r="24" spans="11:34" x14ac:dyDescent="0.25">
      <c r="K24" s="8"/>
      <c r="L24" s="8"/>
      <c r="AA24" s="3"/>
      <c r="AB24" s="3"/>
      <c r="AC24" s="3"/>
      <c r="AD24" s="3"/>
      <c r="AE24" s="3"/>
      <c r="AF24" s="3"/>
      <c r="AG24" s="3"/>
      <c r="AH24" s="3"/>
    </row>
    <row r="25" spans="11:34" x14ac:dyDescent="0.25">
      <c r="K25" s="8"/>
      <c r="L25" s="8"/>
      <c r="AA25" s="3"/>
      <c r="AB25" s="3"/>
      <c r="AC25" s="3"/>
      <c r="AD25" s="3"/>
      <c r="AE25" s="3"/>
      <c r="AF25" s="3"/>
      <c r="AG25" s="3"/>
      <c r="AH25" s="3"/>
    </row>
    <row r="26" spans="11:34" x14ac:dyDescent="0.25">
      <c r="K26" s="8"/>
      <c r="L26" s="8"/>
      <c r="AA26" s="3"/>
      <c r="AB26" s="3"/>
      <c r="AC26" s="3"/>
      <c r="AD26" s="3"/>
      <c r="AE26" s="3"/>
      <c r="AF26" s="3"/>
      <c r="AG26" s="3"/>
      <c r="AH26" s="3"/>
    </row>
    <row r="27" spans="11:34" x14ac:dyDescent="0.25">
      <c r="AA27" s="3"/>
      <c r="AB27" s="3"/>
      <c r="AC27" s="3"/>
      <c r="AD27" s="3"/>
      <c r="AE27" s="3"/>
      <c r="AF27" s="3"/>
      <c r="AG27" s="3"/>
      <c r="AH27" s="3"/>
    </row>
    <row r="28" spans="11:34" x14ac:dyDescent="0.25">
      <c r="AA28" s="3"/>
      <c r="AB28" s="3"/>
      <c r="AC28" s="3"/>
      <c r="AD28" s="3"/>
      <c r="AE28" s="3"/>
      <c r="AF28" s="3"/>
      <c r="AG28" s="3"/>
      <c r="AH28" s="3"/>
    </row>
    <row r="29" spans="11:34" x14ac:dyDescent="0.25">
      <c r="AA29" s="3"/>
      <c r="AB29" s="3"/>
      <c r="AC29" s="3"/>
      <c r="AD29" s="3"/>
      <c r="AE29" s="3"/>
      <c r="AF29" s="3"/>
      <c r="AG29" s="3"/>
      <c r="AH29" s="3"/>
    </row>
    <row r="30" spans="11:34" x14ac:dyDescent="0.25">
      <c r="K30" s="8"/>
      <c r="L30" s="8"/>
      <c r="AA30" s="3"/>
      <c r="AB30" s="3"/>
      <c r="AC30" s="3"/>
      <c r="AD30" s="3"/>
      <c r="AE30" s="3"/>
      <c r="AF30" s="3"/>
      <c r="AG30" s="3"/>
      <c r="AH30" s="3"/>
    </row>
    <row r="31" spans="11:34" x14ac:dyDescent="0.25">
      <c r="K31" s="8"/>
      <c r="L31" s="8"/>
      <c r="AA31" s="3"/>
      <c r="AB31" s="3"/>
      <c r="AC31" s="3"/>
      <c r="AD31" s="3"/>
      <c r="AE31" s="3"/>
      <c r="AF31" s="3"/>
      <c r="AG31" s="3"/>
      <c r="AH31" s="3"/>
    </row>
    <row r="32" spans="11:34" x14ac:dyDescent="0.25">
      <c r="K32" s="8"/>
      <c r="L32" s="8"/>
      <c r="AA32" s="3"/>
      <c r="AB32" s="3"/>
      <c r="AC32" s="3"/>
      <c r="AD32" s="3"/>
      <c r="AE32" s="3"/>
      <c r="AF32" s="3"/>
      <c r="AG32" s="3"/>
      <c r="AH32" s="3"/>
    </row>
    <row r="33" spans="11:34" x14ac:dyDescent="0.25">
      <c r="K33" s="8"/>
      <c r="L33" s="8"/>
      <c r="AA33" s="3"/>
      <c r="AB33" s="3"/>
      <c r="AC33" s="3"/>
      <c r="AD33" s="3"/>
      <c r="AE33" s="3"/>
      <c r="AF33" s="3"/>
      <c r="AG33" s="3"/>
      <c r="AH33" s="3"/>
    </row>
    <row r="34" spans="11:34" x14ac:dyDescent="0.25">
      <c r="K34" s="8"/>
      <c r="L34" s="8"/>
      <c r="AA34" s="3"/>
      <c r="AB34" s="3"/>
      <c r="AC34" s="3"/>
      <c r="AD34" s="3"/>
      <c r="AE34" s="3"/>
      <c r="AF34" s="3"/>
      <c r="AG34" s="3"/>
      <c r="AH34" s="3"/>
    </row>
    <row r="35" spans="11:34" x14ac:dyDescent="0.25">
      <c r="K35" s="8"/>
      <c r="L35" s="8"/>
      <c r="AA35" s="3"/>
      <c r="AB35" s="3"/>
      <c r="AC35" s="3"/>
      <c r="AD35" s="3"/>
      <c r="AE35" s="3"/>
      <c r="AF35" s="3"/>
      <c r="AG35" s="3"/>
      <c r="AH35" s="3"/>
    </row>
    <row r="36" spans="11:34" x14ac:dyDescent="0.25">
      <c r="K36" s="8"/>
      <c r="L36" s="8"/>
      <c r="AA36" s="3"/>
      <c r="AB36" s="3"/>
      <c r="AC36" s="3"/>
      <c r="AD36" s="3"/>
      <c r="AE36" s="3"/>
      <c r="AF36" s="3"/>
      <c r="AG36" s="3"/>
      <c r="AH36" s="3"/>
    </row>
    <row r="37" spans="11:34" x14ac:dyDescent="0.25">
      <c r="K37" s="8"/>
      <c r="L37" s="8"/>
      <c r="AA37" s="3"/>
      <c r="AB37" s="3"/>
      <c r="AC37" s="3"/>
      <c r="AD37" s="3"/>
      <c r="AE37" s="3"/>
      <c r="AF37" s="3"/>
      <c r="AG37" s="3"/>
      <c r="AH37" s="3"/>
    </row>
    <row r="38" spans="11:34" x14ac:dyDescent="0.25">
      <c r="K38" s="8"/>
      <c r="L38" s="8"/>
      <c r="AA38" s="3"/>
      <c r="AB38" s="3"/>
      <c r="AC38" s="3"/>
      <c r="AD38" s="3"/>
      <c r="AE38" s="3"/>
      <c r="AF38" s="3"/>
      <c r="AG38" s="3"/>
      <c r="AH38" s="3"/>
    </row>
    <row r="39" spans="11:34" x14ac:dyDescent="0.25">
      <c r="L39" s="8"/>
      <c r="AA39" s="3"/>
      <c r="AB39" s="3"/>
      <c r="AC39" s="3"/>
      <c r="AD39" s="3"/>
      <c r="AE39" s="3"/>
      <c r="AF39" s="3"/>
      <c r="AG39" s="3"/>
      <c r="AH39" s="3"/>
    </row>
    <row r="40" spans="11:34" x14ac:dyDescent="0.25">
      <c r="K40" s="8"/>
      <c r="L40" s="8"/>
      <c r="AA40" s="3"/>
      <c r="AB40" s="3"/>
      <c r="AC40" s="3"/>
      <c r="AD40" s="3"/>
      <c r="AE40" s="3"/>
      <c r="AF40" s="3"/>
      <c r="AG40" s="3"/>
      <c r="AH40" s="3"/>
    </row>
    <row r="41" spans="11:34" x14ac:dyDescent="0.25">
      <c r="K41" s="8"/>
      <c r="L41" s="8"/>
      <c r="AA41" s="3"/>
      <c r="AB41" s="3"/>
      <c r="AC41" s="3"/>
      <c r="AD41" s="3"/>
      <c r="AE41" s="3"/>
      <c r="AF41" s="3"/>
      <c r="AG41" s="3"/>
      <c r="AH41" s="3"/>
    </row>
    <row r="42" spans="11:34" x14ac:dyDescent="0.25">
      <c r="K42" s="8"/>
      <c r="L42" s="8"/>
      <c r="AA42" s="3"/>
      <c r="AB42" s="3"/>
      <c r="AC42" s="3"/>
      <c r="AD42" s="3"/>
      <c r="AE42" s="3"/>
      <c r="AF42" s="3"/>
      <c r="AG42" s="3"/>
      <c r="AH42" s="3"/>
    </row>
    <row r="43" spans="11:34" x14ac:dyDescent="0.25">
      <c r="K43" s="8"/>
      <c r="L43" s="8"/>
      <c r="AA43" s="3"/>
      <c r="AB43" s="3"/>
      <c r="AC43" s="3"/>
      <c r="AD43" s="3"/>
      <c r="AE43" s="3"/>
      <c r="AF43" s="3"/>
      <c r="AG43" s="3"/>
      <c r="AH43" s="3"/>
    </row>
    <row r="44" spans="11:34" x14ac:dyDescent="0.25">
      <c r="K44" s="8"/>
      <c r="L44" s="8"/>
      <c r="AA44" s="3"/>
      <c r="AB44" s="3"/>
      <c r="AC44" s="3"/>
      <c r="AD44" s="3"/>
      <c r="AE44" s="3"/>
      <c r="AF44" s="3"/>
      <c r="AG44" s="3"/>
      <c r="AH44" s="3"/>
    </row>
    <row r="45" spans="11:34" x14ac:dyDescent="0.25">
      <c r="K45" s="8"/>
      <c r="L45" s="8"/>
      <c r="AA45" s="3"/>
      <c r="AB45" s="3"/>
      <c r="AC45" s="3"/>
      <c r="AD45" s="3"/>
      <c r="AE45" s="3"/>
      <c r="AF45" s="3"/>
      <c r="AG45" s="3"/>
      <c r="AH45" s="3"/>
    </row>
    <row r="46" spans="11:34" x14ac:dyDescent="0.25">
      <c r="K46" s="8"/>
      <c r="L46" s="8"/>
      <c r="AA46" s="3"/>
      <c r="AB46" s="3"/>
      <c r="AC46" s="3"/>
      <c r="AD46" s="3"/>
      <c r="AE46" s="3"/>
      <c r="AF46" s="3"/>
      <c r="AG46" s="3"/>
      <c r="AH46" s="3"/>
    </row>
    <row r="47" spans="11:34" x14ac:dyDescent="0.25">
      <c r="K47" s="8"/>
      <c r="L47" s="8"/>
      <c r="AA47" s="3"/>
      <c r="AB47" s="3"/>
      <c r="AC47" s="3"/>
      <c r="AD47" s="3"/>
      <c r="AE47" s="3"/>
      <c r="AF47" s="3"/>
      <c r="AG47" s="3"/>
      <c r="AH47" s="3"/>
    </row>
    <row r="48" spans="11:34" x14ac:dyDescent="0.25">
      <c r="K48" s="8"/>
      <c r="L48" s="8"/>
      <c r="AA48" s="3"/>
      <c r="AB48" s="3"/>
      <c r="AC48" s="3"/>
      <c r="AD48" s="3"/>
      <c r="AE48" s="3"/>
      <c r="AF48" s="3"/>
      <c r="AG48" s="3"/>
      <c r="AH48" s="3"/>
    </row>
    <row r="49" spans="11:34" x14ac:dyDescent="0.25">
      <c r="K49" s="8"/>
      <c r="L49" s="8"/>
      <c r="AA49" s="3"/>
      <c r="AB49" s="3"/>
      <c r="AC49" s="3"/>
      <c r="AD49" s="3"/>
      <c r="AE49" s="3"/>
      <c r="AF49" s="3"/>
      <c r="AG49" s="3"/>
      <c r="AH49" s="3"/>
    </row>
    <row r="50" spans="11:34" x14ac:dyDescent="0.25">
      <c r="K50" s="8"/>
      <c r="L50" s="8"/>
      <c r="AA50" s="3"/>
      <c r="AB50" s="3"/>
      <c r="AC50" s="3"/>
      <c r="AD50" s="3"/>
      <c r="AE50" s="3"/>
      <c r="AF50" s="3"/>
      <c r="AG50" s="3"/>
      <c r="AH50" s="3"/>
    </row>
    <row r="51" spans="11:34" x14ac:dyDescent="0.25">
      <c r="K51" s="8"/>
      <c r="L51" s="8"/>
      <c r="AA51" s="3"/>
      <c r="AB51" s="3"/>
      <c r="AC51" s="3"/>
      <c r="AD51" s="3"/>
      <c r="AE51" s="3"/>
      <c r="AF51" s="3"/>
      <c r="AG51" s="3"/>
      <c r="AH51" s="3"/>
    </row>
    <row r="52" spans="11:34" x14ac:dyDescent="0.25">
      <c r="K52" s="8"/>
      <c r="L52" s="8"/>
      <c r="AA52" s="3"/>
      <c r="AB52" s="3"/>
      <c r="AC52" s="3"/>
      <c r="AD52" s="3"/>
      <c r="AE52" s="3"/>
      <c r="AF52" s="3"/>
      <c r="AG52" s="3"/>
      <c r="AH52" s="3"/>
    </row>
    <row r="53" spans="11:34" x14ac:dyDescent="0.25">
      <c r="K53" s="8"/>
      <c r="L53" s="8"/>
      <c r="AA53" s="3"/>
      <c r="AB53" s="3"/>
      <c r="AC53" s="3"/>
      <c r="AD53" s="3"/>
      <c r="AE53" s="3"/>
      <c r="AF53" s="3"/>
      <c r="AG53" s="3"/>
      <c r="AH53" s="3"/>
    </row>
    <row r="54" spans="11:34" x14ac:dyDescent="0.25">
      <c r="K54" s="8"/>
      <c r="L54" s="8"/>
      <c r="AA54" s="3"/>
      <c r="AB54" s="3"/>
      <c r="AC54" s="3"/>
      <c r="AD54" s="3"/>
      <c r="AE54" s="3"/>
      <c r="AF54" s="3"/>
      <c r="AG54" s="3"/>
      <c r="AH54" s="3"/>
    </row>
    <row r="55" spans="11:34" x14ac:dyDescent="0.25">
      <c r="K55" s="8"/>
      <c r="L55" s="8"/>
      <c r="AA55" s="3"/>
      <c r="AB55" s="3"/>
      <c r="AC55" s="3"/>
      <c r="AD55" s="3"/>
      <c r="AE55" s="3"/>
      <c r="AF55" s="3"/>
      <c r="AG55" s="3"/>
      <c r="AH55" s="3"/>
    </row>
    <row r="56" spans="11:34" x14ac:dyDescent="0.25">
      <c r="K56" s="8"/>
      <c r="L56" s="8"/>
      <c r="AA56" s="3"/>
      <c r="AB56" s="3"/>
      <c r="AC56" s="3"/>
      <c r="AD56" s="3"/>
      <c r="AE56" s="3"/>
      <c r="AF56" s="3"/>
      <c r="AG56" s="3"/>
      <c r="AH56" s="3"/>
    </row>
    <row r="57" spans="11:34" x14ac:dyDescent="0.25">
      <c r="K57" s="8"/>
      <c r="L57" s="8"/>
      <c r="AA57" s="3"/>
      <c r="AB57" s="3"/>
      <c r="AC57" s="3"/>
      <c r="AD57" s="3"/>
      <c r="AE57" s="3"/>
      <c r="AF57" s="3"/>
      <c r="AG57" s="3"/>
      <c r="AH57" s="3"/>
    </row>
    <row r="58" spans="11:34" x14ac:dyDescent="0.25">
      <c r="K58" s="8"/>
      <c r="L58" s="8"/>
      <c r="AA58" s="3"/>
      <c r="AB58" s="3"/>
      <c r="AC58" s="3"/>
      <c r="AD58" s="3"/>
      <c r="AE58" s="3"/>
      <c r="AF58" s="3"/>
      <c r="AG58" s="3"/>
      <c r="AH58" s="3"/>
    </row>
    <row r="59" spans="11:34" x14ac:dyDescent="0.25">
      <c r="K59" s="8"/>
      <c r="L59" s="8"/>
      <c r="AA59" s="3"/>
      <c r="AB59" s="3"/>
      <c r="AC59" s="3"/>
      <c r="AD59" s="3"/>
      <c r="AE59" s="3"/>
      <c r="AF59" s="3"/>
      <c r="AG59" s="3"/>
      <c r="AH59" s="3"/>
    </row>
    <row r="60" spans="11:34" x14ac:dyDescent="0.25">
      <c r="K60" s="8"/>
      <c r="L60" s="8"/>
      <c r="AA60" s="3"/>
      <c r="AB60" s="3"/>
      <c r="AC60" s="3"/>
      <c r="AD60" s="3"/>
      <c r="AE60" s="3"/>
      <c r="AF60" s="3"/>
      <c r="AG60" s="3"/>
      <c r="AH60" s="3"/>
    </row>
    <row r="61" spans="11:34" x14ac:dyDescent="0.25">
      <c r="K61" s="8"/>
      <c r="L61" s="8"/>
      <c r="AA61" s="3"/>
      <c r="AB61" s="3"/>
      <c r="AC61" s="3"/>
      <c r="AD61" s="3"/>
      <c r="AE61" s="3"/>
      <c r="AF61" s="3"/>
      <c r="AG61" s="3"/>
      <c r="AH61" s="3"/>
    </row>
    <row r="62" spans="11:34" x14ac:dyDescent="0.25">
      <c r="K62" s="8"/>
      <c r="L62" s="8"/>
      <c r="AA62" s="3"/>
      <c r="AB62" s="3"/>
      <c r="AC62" s="3"/>
      <c r="AD62" s="3"/>
      <c r="AE62" s="3"/>
      <c r="AF62" s="3"/>
      <c r="AG62" s="3"/>
      <c r="AH62" s="3"/>
    </row>
    <row r="63" spans="11:34" x14ac:dyDescent="0.25">
      <c r="K63" s="8"/>
      <c r="L63" s="8"/>
      <c r="AA63" s="3"/>
      <c r="AB63" s="3"/>
      <c r="AC63" s="3"/>
      <c r="AD63" s="3"/>
      <c r="AE63" s="3"/>
      <c r="AF63" s="3"/>
      <c r="AG63" s="3"/>
      <c r="AH63" s="3"/>
    </row>
    <row r="64" spans="11:34" x14ac:dyDescent="0.25">
      <c r="K64" s="8"/>
      <c r="L64" s="8"/>
      <c r="AA64" s="3"/>
      <c r="AB64" s="3"/>
      <c r="AC64" s="3"/>
      <c r="AD64" s="3"/>
      <c r="AE64" s="3"/>
      <c r="AF64" s="3"/>
      <c r="AG64" s="3"/>
      <c r="AH64" s="3"/>
    </row>
    <row r="65" spans="11:34" x14ac:dyDescent="0.25">
      <c r="K65" s="8"/>
      <c r="L65" s="8"/>
      <c r="AA65" s="3"/>
      <c r="AB65" s="3"/>
      <c r="AC65" s="3"/>
      <c r="AD65" s="3"/>
      <c r="AE65" s="3"/>
      <c r="AF65" s="3"/>
      <c r="AG65" s="3"/>
      <c r="AH65" s="3"/>
    </row>
    <row r="66" spans="11:34" x14ac:dyDescent="0.25">
      <c r="K66" s="8"/>
      <c r="L66" s="8"/>
      <c r="AA66" s="3"/>
      <c r="AB66" s="3"/>
      <c r="AC66" s="3"/>
      <c r="AD66" s="3"/>
      <c r="AE66" s="3"/>
      <c r="AF66" s="3"/>
      <c r="AG66" s="3"/>
      <c r="AH66" s="3"/>
    </row>
    <row r="67" spans="11:34" x14ac:dyDescent="0.25">
      <c r="K67" s="8"/>
      <c r="L67" s="8"/>
      <c r="AA67" s="3"/>
      <c r="AB67" s="3"/>
      <c r="AC67" s="3"/>
      <c r="AD67" s="3"/>
      <c r="AE67" s="3"/>
      <c r="AF67" s="3"/>
      <c r="AG67" s="3"/>
      <c r="AH67" s="3"/>
    </row>
    <row r="68" spans="11:34" x14ac:dyDescent="0.25">
      <c r="K68" s="8"/>
      <c r="L68" s="8"/>
      <c r="AA68" s="3"/>
      <c r="AB68" s="3"/>
      <c r="AC68" s="3"/>
      <c r="AD68" s="3"/>
      <c r="AE68" s="3"/>
      <c r="AF68" s="3"/>
      <c r="AG68" s="3"/>
      <c r="AH68" s="3"/>
    </row>
    <row r="69" spans="11:34" x14ac:dyDescent="0.25">
      <c r="K69" s="8"/>
      <c r="L69" s="8"/>
      <c r="AA69" s="3"/>
      <c r="AB69" s="3"/>
      <c r="AC69" s="3"/>
      <c r="AD69" s="3"/>
      <c r="AE69" s="3"/>
      <c r="AF69" s="3"/>
      <c r="AG69" s="3"/>
      <c r="AH69" s="3"/>
    </row>
    <row r="79" spans="11:34" x14ac:dyDescent="0.25">
      <c r="K79" s="8"/>
      <c r="L79" s="8"/>
      <c r="AA79" s="3"/>
      <c r="AB79" s="3"/>
      <c r="AC79" s="3"/>
      <c r="AD79" s="3"/>
      <c r="AE79" s="3"/>
      <c r="AF79" s="3"/>
      <c r="AG79" s="3"/>
      <c r="AH79" s="3"/>
    </row>
    <row r="80" spans="11:34" x14ac:dyDescent="0.25">
      <c r="AA80" s="3"/>
      <c r="AB80" s="3"/>
      <c r="AC80" s="3"/>
      <c r="AD80" s="3"/>
      <c r="AE80" s="3"/>
      <c r="AF80" s="3"/>
      <c r="AG80" s="3"/>
      <c r="AH80" s="3"/>
    </row>
    <row r="81" spans="11:34" x14ac:dyDescent="0.25">
      <c r="L81" s="8"/>
      <c r="AA81" s="3"/>
      <c r="AB81" s="3"/>
      <c r="AC81" s="3"/>
      <c r="AD81" s="3"/>
      <c r="AE81" s="3"/>
      <c r="AF81" s="3"/>
      <c r="AG81" s="3"/>
      <c r="AH81" s="3"/>
    </row>
    <row r="82" spans="11:34" x14ac:dyDescent="0.25">
      <c r="L82" s="8"/>
      <c r="AA82" s="3"/>
      <c r="AB82" s="3"/>
      <c r="AC82" s="3"/>
      <c r="AD82" s="3"/>
      <c r="AE82" s="3"/>
      <c r="AF82" s="3"/>
      <c r="AG82" s="3"/>
      <c r="AH82" s="3"/>
    </row>
    <row r="83" spans="11:34" x14ac:dyDescent="0.25">
      <c r="L83" s="8"/>
      <c r="AA83" s="3"/>
      <c r="AB83" s="3"/>
      <c r="AC83" s="3"/>
      <c r="AD83" s="3"/>
      <c r="AE83" s="3"/>
      <c r="AF83" s="3"/>
      <c r="AG83" s="3"/>
      <c r="AH83" s="3"/>
    </row>
    <row r="84" spans="11:34" x14ac:dyDescent="0.25">
      <c r="L84" s="8"/>
      <c r="AA84" s="3"/>
      <c r="AB84" s="3"/>
      <c r="AC84" s="3"/>
      <c r="AD84" s="3"/>
      <c r="AE84" s="3"/>
      <c r="AF84" s="3"/>
      <c r="AG84" s="3"/>
      <c r="AH84" s="3"/>
    </row>
    <row r="85" spans="11:34" x14ac:dyDescent="0.25">
      <c r="L85" s="8"/>
      <c r="AA85" s="3"/>
      <c r="AB85" s="3"/>
      <c r="AC85" s="3"/>
      <c r="AD85" s="3"/>
      <c r="AE85" s="3"/>
      <c r="AF85" s="3"/>
      <c r="AG85" s="3"/>
      <c r="AH85" s="3"/>
    </row>
    <row r="86" spans="11:34" x14ac:dyDescent="0.25">
      <c r="L86" s="8"/>
      <c r="AA86" s="3"/>
      <c r="AB86" s="3"/>
      <c r="AC86" s="3"/>
      <c r="AD86" s="3"/>
      <c r="AE86" s="3"/>
      <c r="AF86" s="3"/>
      <c r="AG86" s="3"/>
      <c r="AH86" s="3"/>
    </row>
    <row r="87" spans="11:34" x14ac:dyDescent="0.25">
      <c r="L87" s="8"/>
      <c r="AA87" s="3"/>
      <c r="AB87" s="3"/>
      <c r="AC87" s="3"/>
      <c r="AD87" s="3"/>
      <c r="AE87" s="3"/>
      <c r="AF87" s="3"/>
      <c r="AG87" s="3"/>
      <c r="AH87" s="3"/>
    </row>
    <row r="88" spans="11:34" x14ac:dyDescent="0.25">
      <c r="L88" s="8"/>
      <c r="AA88" s="3"/>
      <c r="AB88" s="3"/>
      <c r="AC88" s="3"/>
      <c r="AD88" s="3"/>
      <c r="AE88" s="3"/>
      <c r="AF88" s="3"/>
      <c r="AG88" s="3"/>
      <c r="AH88" s="3"/>
    </row>
    <row r="89" spans="11:34" x14ac:dyDescent="0.25">
      <c r="L89" s="8"/>
      <c r="AA89" s="3"/>
      <c r="AB89" s="3"/>
      <c r="AC89" s="3"/>
      <c r="AD89" s="3"/>
      <c r="AE89" s="3"/>
      <c r="AF89" s="3"/>
      <c r="AG89" s="3"/>
      <c r="AH89" s="3"/>
    </row>
    <row r="90" spans="11:34" x14ac:dyDescent="0.25">
      <c r="AA90" s="3"/>
      <c r="AB90" s="3"/>
      <c r="AC90" s="3"/>
      <c r="AD90" s="3"/>
      <c r="AE90" s="3"/>
      <c r="AF90" s="3"/>
      <c r="AG90" s="3"/>
      <c r="AH90" s="3"/>
    </row>
    <row r="91" spans="11:34" x14ac:dyDescent="0.25">
      <c r="AA91" s="3"/>
      <c r="AB91" s="3"/>
      <c r="AC91" s="3"/>
      <c r="AD91" s="3"/>
      <c r="AE91" s="3"/>
      <c r="AF91" s="3"/>
      <c r="AG91" s="3"/>
      <c r="AH91" s="3"/>
    </row>
    <row r="92" spans="11:34" x14ac:dyDescent="0.25">
      <c r="K92" s="8"/>
      <c r="L92" s="8"/>
      <c r="AA92" s="3"/>
      <c r="AB92" s="3"/>
      <c r="AC92" s="3"/>
      <c r="AD92" s="3"/>
      <c r="AE92" s="3"/>
      <c r="AF92" s="3"/>
      <c r="AG92" s="3"/>
      <c r="AH92" s="3"/>
    </row>
    <row r="93" spans="11:34" x14ac:dyDescent="0.25">
      <c r="K93" s="8"/>
      <c r="L93" s="8"/>
      <c r="AA93" s="3"/>
      <c r="AB93" s="3"/>
      <c r="AC93" s="3"/>
      <c r="AD93" s="3"/>
      <c r="AE93" s="3"/>
      <c r="AF93" s="3"/>
      <c r="AG93" s="3"/>
      <c r="AH93" s="3"/>
    </row>
    <row r="94" spans="11:34" x14ac:dyDescent="0.25">
      <c r="K94" s="8"/>
      <c r="L94" s="8"/>
      <c r="AA94" s="3"/>
      <c r="AB94" s="3"/>
      <c r="AC94" s="3"/>
      <c r="AD94" s="3"/>
      <c r="AE94" s="3"/>
      <c r="AF94" s="3"/>
      <c r="AG94" s="3"/>
      <c r="AH94" s="3"/>
    </row>
    <row r="95" spans="11:34" x14ac:dyDescent="0.25">
      <c r="K95" s="8"/>
      <c r="L95" s="8"/>
      <c r="AA95" s="3"/>
      <c r="AB95" s="3"/>
      <c r="AC95" s="3"/>
      <c r="AD95" s="3"/>
      <c r="AE95" s="3"/>
      <c r="AF95" s="3"/>
      <c r="AG95" s="3"/>
      <c r="AH95" s="3"/>
    </row>
    <row r="96" spans="11:34" x14ac:dyDescent="0.25">
      <c r="K96" s="8"/>
      <c r="L96" s="8"/>
      <c r="AA96" s="3"/>
      <c r="AB96" s="3"/>
      <c r="AC96" s="3"/>
      <c r="AD96" s="3"/>
      <c r="AE96" s="3"/>
      <c r="AF96" s="3"/>
      <c r="AG96" s="3"/>
      <c r="AH96" s="3"/>
    </row>
    <row r="97" spans="11:34" x14ac:dyDescent="0.25">
      <c r="K97" s="8"/>
      <c r="L97" s="8"/>
      <c r="AA97" s="3"/>
      <c r="AB97" s="3"/>
      <c r="AC97" s="3"/>
      <c r="AD97" s="3"/>
      <c r="AE97" s="3"/>
      <c r="AF97" s="3"/>
      <c r="AG97" s="3"/>
      <c r="AH97" s="3"/>
    </row>
    <row r="98" spans="11:34" x14ac:dyDescent="0.25">
      <c r="K98" s="8"/>
      <c r="L98" s="8"/>
      <c r="AA98" s="3"/>
      <c r="AB98" s="3"/>
      <c r="AC98" s="3"/>
      <c r="AD98" s="3"/>
      <c r="AE98" s="3"/>
      <c r="AF98" s="3"/>
      <c r="AG98" s="3"/>
      <c r="AH98" s="3"/>
    </row>
    <row r="99" spans="11:34" x14ac:dyDescent="0.25">
      <c r="K99" s="8"/>
      <c r="L99" s="8"/>
      <c r="AA99" s="3"/>
      <c r="AB99" s="3"/>
      <c r="AC99" s="3"/>
      <c r="AD99" s="3"/>
      <c r="AE99" s="3"/>
      <c r="AF99" s="3"/>
      <c r="AG99" s="3"/>
      <c r="AH99" s="3"/>
    </row>
    <row r="100" spans="11:34" x14ac:dyDescent="0.25">
      <c r="K100" s="8"/>
      <c r="L100" s="8"/>
      <c r="AA100" s="3"/>
      <c r="AB100" s="3"/>
      <c r="AC100" s="3"/>
      <c r="AD100" s="3"/>
      <c r="AE100" s="3"/>
      <c r="AF100" s="3"/>
      <c r="AG100" s="3"/>
      <c r="AH100" s="3"/>
    </row>
    <row r="101" spans="11:34" x14ac:dyDescent="0.25">
      <c r="K101" s="8"/>
      <c r="L101" s="8"/>
      <c r="AA101" s="3"/>
      <c r="AB101" s="3"/>
      <c r="AC101" s="3"/>
      <c r="AD101" s="3"/>
      <c r="AE101" s="3"/>
      <c r="AF101" s="3"/>
      <c r="AG101" s="3"/>
      <c r="AH101" s="3"/>
    </row>
    <row r="102" spans="11:34" x14ac:dyDescent="0.25">
      <c r="K102" s="8"/>
      <c r="L102" s="8"/>
      <c r="AA102" s="3"/>
      <c r="AB102" s="3"/>
      <c r="AC102" s="3"/>
      <c r="AD102" s="3"/>
      <c r="AE102" s="3"/>
      <c r="AF102" s="3"/>
      <c r="AG102" s="3"/>
      <c r="AH102" s="3"/>
    </row>
    <row r="103" spans="11:34" x14ac:dyDescent="0.25">
      <c r="K103" s="8"/>
      <c r="L103" s="8"/>
      <c r="AA103" s="3"/>
      <c r="AB103" s="3"/>
      <c r="AC103" s="3"/>
      <c r="AD103" s="3"/>
      <c r="AE103" s="3"/>
      <c r="AF103" s="3"/>
      <c r="AG103" s="3"/>
      <c r="AH103" s="3"/>
    </row>
    <row r="104" spans="11:34" x14ac:dyDescent="0.25">
      <c r="K104" s="8"/>
      <c r="L104" s="8"/>
      <c r="AA104" s="3"/>
      <c r="AB104" s="3"/>
      <c r="AC104" s="3"/>
      <c r="AD104" s="3"/>
      <c r="AE104" s="3"/>
      <c r="AF104" s="3"/>
      <c r="AG104" s="3"/>
      <c r="AH104" s="3"/>
    </row>
    <row r="105" spans="11:34" x14ac:dyDescent="0.25">
      <c r="K105" s="8"/>
      <c r="L105" s="8"/>
      <c r="AA105" s="3"/>
      <c r="AB105" s="3"/>
      <c r="AC105" s="3"/>
      <c r="AD105" s="3"/>
      <c r="AE105" s="3"/>
      <c r="AF105" s="3"/>
      <c r="AG105" s="3"/>
      <c r="AH105" s="3"/>
    </row>
    <row r="106" spans="11:34" x14ac:dyDescent="0.25">
      <c r="K106" s="8"/>
      <c r="L106" s="8"/>
      <c r="AA106" s="3"/>
      <c r="AB106" s="3"/>
      <c r="AC106" s="3"/>
      <c r="AD106" s="3"/>
      <c r="AE106" s="3"/>
      <c r="AF106" s="3"/>
      <c r="AG106" s="3"/>
      <c r="AH106" s="3"/>
    </row>
    <row r="126" spans="11:34" x14ac:dyDescent="0.25">
      <c r="K126" s="8"/>
      <c r="L126" s="8"/>
      <c r="AA126" s="3"/>
      <c r="AB126" s="3"/>
      <c r="AC126" s="3"/>
      <c r="AD126" s="3"/>
      <c r="AE126" s="3"/>
      <c r="AF126" s="3"/>
      <c r="AG126" s="3"/>
      <c r="AH126" s="3"/>
    </row>
    <row r="127" spans="11:34" x14ac:dyDescent="0.25">
      <c r="K127" s="8"/>
      <c r="L127" s="8"/>
      <c r="AA127" s="3"/>
      <c r="AB127" s="3"/>
      <c r="AC127" s="3"/>
      <c r="AD127" s="3"/>
      <c r="AE127" s="3"/>
      <c r="AF127" s="3"/>
      <c r="AG127" s="3"/>
      <c r="AH127" s="3"/>
    </row>
    <row r="128" spans="11:34" x14ac:dyDescent="0.25">
      <c r="K128" s="8"/>
      <c r="L128" s="8"/>
      <c r="AA128" s="3"/>
      <c r="AB128" s="3"/>
      <c r="AC128" s="3"/>
      <c r="AD128" s="3"/>
      <c r="AE128" s="3"/>
      <c r="AF128" s="3"/>
      <c r="AG128" s="3"/>
      <c r="AH128" s="3"/>
    </row>
    <row r="129" spans="11:34" x14ac:dyDescent="0.25">
      <c r="K129" s="8"/>
      <c r="L129" s="8"/>
      <c r="AA129" s="3"/>
      <c r="AB129" s="3"/>
      <c r="AC129" s="3"/>
      <c r="AD129" s="3"/>
      <c r="AE129" s="3"/>
      <c r="AF129" s="3"/>
      <c r="AG129" s="3"/>
      <c r="AH129" s="3"/>
    </row>
    <row r="130" spans="11:34" x14ac:dyDescent="0.25">
      <c r="K130" s="8"/>
      <c r="L130" s="8"/>
      <c r="AA130" s="3"/>
      <c r="AB130" s="3"/>
      <c r="AC130" s="3"/>
      <c r="AD130" s="3"/>
      <c r="AE130" s="3"/>
      <c r="AF130" s="3"/>
      <c r="AG130" s="3"/>
      <c r="AH130" s="3"/>
    </row>
    <row r="131" spans="11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11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11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11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11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11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11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11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11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11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11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11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11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11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ht="14.25" customHeight="1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  <row r="160" spans="27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</sheetData>
  <autoFilter ref="B3:AH130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92</v>
      </c>
      <c r="G2" s="28"/>
      <c r="H2" s="15"/>
      <c r="I2" s="28" t="s">
        <v>86</v>
      </c>
      <c r="J2" s="28"/>
      <c r="K2" s="15"/>
      <c r="L2" s="28" t="s">
        <v>125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93</v>
      </c>
      <c r="H3" s="13"/>
      <c r="I3" s="12" t="s">
        <v>87</v>
      </c>
      <c r="J3" s="12" t="s">
        <v>88</v>
      </c>
      <c r="K3" s="17"/>
      <c r="L3" s="3" t="s">
        <v>41</v>
      </c>
      <c r="M3" s="3" t="s">
        <v>41</v>
      </c>
      <c r="N3" s="28" t="s">
        <v>126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2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0" t="s">
        <v>124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137</v>
      </c>
      <c r="C23" s="3">
        <v>32</v>
      </c>
      <c r="D23" s="3">
        <f t="shared" ref="D23" si="1">C23/8</f>
        <v>4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ref="D24:D29" si="2">C24/8</f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2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2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2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2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29" spans="2:47" x14ac:dyDescent="0.25">
      <c r="B29" s="3" t="s">
        <v>73</v>
      </c>
      <c r="C29" s="3">
        <v>64</v>
      </c>
      <c r="D29" s="3">
        <f t="shared" si="2"/>
        <v>8</v>
      </c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4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7" t="s">
        <v>114</v>
      </c>
      <c r="H2" s="1" t="s">
        <v>104</v>
      </c>
    </row>
    <row r="3" spans="2:8" x14ac:dyDescent="0.25">
      <c r="B3" s="3" t="s">
        <v>177</v>
      </c>
      <c r="H3" t="s">
        <v>116</v>
      </c>
    </row>
    <row r="5" spans="2:8" x14ac:dyDescent="0.25">
      <c r="B5" s="27" t="s">
        <v>115</v>
      </c>
      <c r="H5" t="s">
        <v>117</v>
      </c>
    </row>
    <row r="6" spans="2:8" x14ac:dyDescent="0.25">
      <c r="B6" s="3" t="s">
        <v>178</v>
      </c>
      <c r="H6" t="s">
        <v>179</v>
      </c>
    </row>
    <row r="7" spans="2:8" x14ac:dyDescent="0.25">
      <c r="H7" t="s">
        <v>180</v>
      </c>
    </row>
    <row r="8" spans="2:8" x14ac:dyDescent="0.25">
      <c r="B8" s="27" t="s">
        <v>113</v>
      </c>
    </row>
    <row r="9" spans="2:8" x14ac:dyDescent="0.25">
      <c r="B9" s="3">
        <v>256</v>
      </c>
      <c r="H9" t="s">
        <v>105</v>
      </c>
    </row>
    <row r="11" spans="2:8" x14ac:dyDescent="0.25">
      <c r="B11" s="27"/>
      <c r="H11" t="s">
        <v>181</v>
      </c>
    </row>
    <row r="12" spans="2:8" x14ac:dyDescent="0.25">
      <c r="H12" t="s">
        <v>182</v>
      </c>
    </row>
    <row r="13" spans="2:8" x14ac:dyDescent="0.25">
      <c r="H13" t="s">
        <v>269</v>
      </c>
    </row>
    <row r="14" spans="2:8" x14ac:dyDescent="0.25">
      <c r="B14" s="27"/>
      <c r="H14" t="s">
        <v>183</v>
      </c>
    </row>
    <row r="15" spans="2:8" x14ac:dyDescent="0.25">
      <c r="H15" t="s">
        <v>184</v>
      </c>
    </row>
    <row r="17" spans="2:8" x14ac:dyDescent="0.25">
      <c r="B17" s="27"/>
      <c r="H17" t="s">
        <v>185</v>
      </c>
    </row>
    <row r="18" spans="2:8" x14ac:dyDescent="0.25">
      <c r="H18" t="s">
        <v>186</v>
      </c>
    </row>
    <row r="19" spans="2:8" x14ac:dyDescent="0.25">
      <c r="H19" t="s">
        <v>187</v>
      </c>
    </row>
    <row r="20" spans="2:8" x14ac:dyDescent="0.25">
      <c r="B20" s="27"/>
      <c r="H20" t="s">
        <v>188</v>
      </c>
    </row>
    <row r="21" spans="2:8" x14ac:dyDescent="0.25">
      <c r="H21" t="s">
        <v>189</v>
      </c>
    </row>
    <row r="23" spans="2:8" x14ac:dyDescent="0.25">
      <c r="H23" t="s">
        <v>190</v>
      </c>
    </row>
    <row r="24" spans="2:8" x14ac:dyDescent="0.25">
      <c r="H24" t="s">
        <v>191</v>
      </c>
    </row>
    <row r="25" spans="2:8" x14ac:dyDescent="0.25">
      <c r="H25" t="s">
        <v>192</v>
      </c>
    </row>
    <row r="26" spans="2:8" x14ac:dyDescent="0.25">
      <c r="H26" t="s">
        <v>193</v>
      </c>
    </row>
    <row r="28" spans="2:8" x14ac:dyDescent="0.25">
      <c r="H28" t="s">
        <v>194</v>
      </c>
    </row>
    <row r="29" spans="2:8" x14ac:dyDescent="0.25">
      <c r="H29" t="s">
        <v>195</v>
      </c>
    </row>
    <row r="30" spans="2:8" x14ac:dyDescent="0.25">
      <c r="H30" t="s">
        <v>196</v>
      </c>
    </row>
    <row r="31" spans="2:8" x14ac:dyDescent="0.25">
      <c r="H31" t="s">
        <v>197</v>
      </c>
    </row>
    <row r="32" spans="2:8" x14ac:dyDescent="0.25">
      <c r="H32" t="s">
        <v>198</v>
      </c>
    </row>
    <row r="33" spans="8:8" x14ac:dyDescent="0.25">
      <c r="H33" t="s">
        <v>199</v>
      </c>
    </row>
    <row r="35" spans="8:8" x14ac:dyDescent="0.25">
      <c r="H35" t="s">
        <v>106</v>
      </c>
    </row>
    <row r="37" spans="8:8" x14ac:dyDescent="0.25">
      <c r="H37" t="s">
        <v>107</v>
      </c>
    </row>
    <row r="38" spans="8:8" x14ac:dyDescent="0.25">
      <c r="H38" t="s">
        <v>200</v>
      </c>
    </row>
    <row r="39" spans="8:8" x14ac:dyDescent="0.25">
      <c r="H39" t="s">
        <v>201</v>
      </c>
    </row>
    <row r="40" spans="8:8" x14ac:dyDescent="0.25">
      <c r="H40" t="s">
        <v>202</v>
      </c>
    </row>
    <row r="41" spans="8:8" x14ac:dyDescent="0.25">
      <c r="H41" t="s">
        <v>203</v>
      </c>
    </row>
    <row r="43" spans="8:8" x14ac:dyDescent="0.25">
      <c r="H43" t="s">
        <v>108</v>
      </c>
    </row>
    <row r="44" spans="8:8" x14ac:dyDescent="0.25">
      <c r="H44" t="s">
        <v>204</v>
      </c>
    </row>
    <row r="45" spans="8:8" x14ac:dyDescent="0.25">
      <c r="H45" t="s">
        <v>205</v>
      </c>
    </row>
    <row r="46" spans="8:8" x14ac:dyDescent="0.25">
      <c r="H46" t="s">
        <v>206</v>
      </c>
    </row>
    <row r="47" spans="8:8" x14ac:dyDescent="0.25">
      <c r="H47" t="s">
        <v>207</v>
      </c>
    </row>
    <row r="48" spans="8:8" x14ac:dyDescent="0.25">
      <c r="H48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6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110</v>
      </c>
      <c r="H3" t="s">
        <v>37</v>
      </c>
      <c r="I3" s="10"/>
    </row>
    <row r="4" spans="2:9" x14ac:dyDescent="0.25">
      <c r="H4" t="s">
        <v>111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208</v>
      </c>
    </row>
    <row r="7" spans="2:9" x14ac:dyDescent="0.25">
      <c r="H7" t="s">
        <v>128</v>
      </c>
    </row>
    <row r="8" spans="2:9" x14ac:dyDescent="0.25">
      <c r="B8" s="1" t="s">
        <v>20</v>
      </c>
      <c r="H8" t="s">
        <v>212</v>
      </c>
    </row>
    <row r="9" spans="2:9" x14ac:dyDescent="0.25">
      <c r="B9" t="s">
        <v>209</v>
      </c>
      <c r="H9" t="s">
        <v>213</v>
      </c>
    </row>
    <row r="10" spans="2:9" x14ac:dyDescent="0.25">
      <c r="H10" t="s">
        <v>270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129</v>
      </c>
    </row>
    <row r="14" spans="2:9" x14ac:dyDescent="0.25">
      <c r="B14" s="1" t="s">
        <v>14</v>
      </c>
      <c r="H14" t="s">
        <v>214</v>
      </c>
    </row>
    <row r="15" spans="2:9" x14ac:dyDescent="0.25">
      <c r="B15" t="s">
        <v>16</v>
      </c>
      <c r="H15" t="s">
        <v>213</v>
      </c>
    </row>
    <row r="16" spans="2:9" x14ac:dyDescent="0.25">
      <c r="H16" t="s">
        <v>215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210</v>
      </c>
    </row>
    <row r="19" spans="2:8" x14ac:dyDescent="0.25">
      <c r="H19" t="s">
        <v>130</v>
      </c>
    </row>
    <row r="20" spans="2:8" x14ac:dyDescent="0.25">
      <c r="B20" s="1" t="s">
        <v>22</v>
      </c>
      <c r="H20" t="s">
        <v>216</v>
      </c>
    </row>
    <row r="21" spans="2:8" x14ac:dyDescent="0.25">
      <c r="B21" t="s">
        <v>211</v>
      </c>
      <c r="H21" t="s">
        <v>213</v>
      </c>
    </row>
    <row r="22" spans="2:8" x14ac:dyDescent="0.25">
      <c r="H22" t="s">
        <v>217</v>
      </c>
    </row>
    <row r="23" spans="2:8" x14ac:dyDescent="0.25">
      <c r="H23" t="s">
        <v>31</v>
      </c>
    </row>
    <row r="25" spans="2:8" x14ac:dyDescent="0.25">
      <c r="H25" t="s">
        <v>131</v>
      </c>
    </row>
    <row r="26" spans="2:8" x14ac:dyDescent="0.25">
      <c r="H26" t="s">
        <v>218</v>
      </c>
    </row>
    <row r="27" spans="2:8" x14ac:dyDescent="0.25">
      <c r="H27" t="s">
        <v>213</v>
      </c>
    </row>
    <row r="28" spans="2:8" x14ac:dyDescent="0.25">
      <c r="H28" t="s">
        <v>219</v>
      </c>
    </row>
    <row r="29" spans="2:8" x14ac:dyDescent="0.25">
      <c r="H29" t="s">
        <v>31</v>
      </c>
    </row>
    <row r="30" spans="2:8" x14ac:dyDescent="0.25">
      <c r="H30" t="s">
        <v>220</v>
      </c>
    </row>
    <row r="31" spans="2:8" x14ac:dyDescent="0.25">
      <c r="H31" t="s">
        <v>221</v>
      </c>
    </row>
    <row r="32" spans="2:8" x14ac:dyDescent="0.25">
      <c r="H32" t="s">
        <v>31</v>
      </c>
    </row>
    <row r="34" spans="8:8" x14ac:dyDescent="0.25">
      <c r="H34" t="s">
        <v>132</v>
      </c>
    </row>
    <row r="35" spans="8:8" x14ac:dyDescent="0.25">
      <c r="H35" t="s">
        <v>222</v>
      </c>
    </row>
    <row r="36" spans="8:8" x14ac:dyDescent="0.25">
      <c r="H36" t="s">
        <v>213</v>
      </c>
    </row>
    <row r="37" spans="8:8" x14ac:dyDescent="0.25">
      <c r="H37" t="s">
        <v>223</v>
      </c>
    </row>
    <row r="38" spans="8:8" x14ac:dyDescent="0.25">
      <c r="H38" t="s">
        <v>31</v>
      </c>
    </row>
    <row r="40" spans="8:8" x14ac:dyDescent="0.25">
      <c r="H40" t="s">
        <v>133</v>
      </c>
    </row>
    <row r="41" spans="8:8" x14ac:dyDescent="0.25">
      <c r="H41" t="s">
        <v>224</v>
      </c>
    </row>
    <row r="42" spans="8:8" x14ac:dyDescent="0.25">
      <c r="H42" t="s">
        <v>213</v>
      </c>
    </row>
    <row r="43" spans="8:8" x14ac:dyDescent="0.25">
      <c r="H43" t="s">
        <v>225</v>
      </c>
    </row>
    <row r="44" spans="8:8" x14ac:dyDescent="0.25">
      <c r="H44" t="s">
        <v>31</v>
      </c>
    </row>
    <row r="46" spans="8:8" x14ac:dyDescent="0.25">
      <c r="H46" t="s">
        <v>134</v>
      </c>
    </row>
    <row r="47" spans="8:8" x14ac:dyDescent="0.25">
      <c r="H47" t="s">
        <v>226</v>
      </c>
    </row>
    <row r="48" spans="8:8" x14ac:dyDescent="0.25">
      <c r="H48" t="s">
        <v>213</v>
      </c>
    </row>
    <row r="49" spans="8:8" x14ac:dyDescent="0.25">
      <c r="H49" t="s">
        <v>227</v>
      </c>
    </row>
    <row r="50" spans="8:8" x14ac:dyDescent="0.25">
      <c r="H50" t="s">
        <v>31</v>
      </c>
    </row>
    <row r="51" spans="8:8" x14ac:dyDescent="0.25">
      <c r="H51" t="s">
        <v>228</v>
      </c>
    </row>
    <row r="52" spans="8:8" x14ac:dyDescent="0.25">
      <c r="H52" t="s">
        <v>229</v>
      </c>
    </row>
    <row r="53" spans="8:8" x14ac:dyDescent="0.25">
      <c r="H53" t="s">
        <v>230</v>
      </c>
    </row>
    <row r="54" spans="8:8" x14ac:dyDescent="0.25">
      <c r="H54" t="s">
        <v>31</v>
      </c>
    </row>
    <row r="55" spans="8:8" x14ac:dyDescent="0.25">
      <c r="H55" t="s">
        <v>231</v>
      </c>
    </row>
    <row r="56" spans="8:8" x14ac:dyDescent="0.25">
      <c r="H56" t="s">
        <v>232</v>
      </c>
    </row>
    <row r="57" spans="8:8" x14ac:dyDescent="0.25">
      <c r="H57" t="s">
        <v>31</v>
      </c>
    </row>
    <row r="59" spans="8:8" x14ac:dyDescent="0.25">
      <c r="H59" t="s">
        <v>29</v>
      </c>
    </row>
    <row r="60" spans="8:8" x14ac:dyDescent="0.25">
      <c r="H60" t="s">
        <v>121</v>
      </c>
    </row>
    <row r="61" spans="8:8" x14ac:dyDescent="0.25">
      <c r="H61" t="s">
        <v>233</v>
      </c>
    </row>
    <row r="63" spans="8:8" x14ac:dyDescent="0.25">
      <c r="H63" t="s">
        <v>30</v>
      </c>
    </row>
    <row r="64" spans="8:8" x14ac:dyDescent="0.25">
      <c r="H64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3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208</v>
      </c>
    </row>
    <row r="7" spans="1:8" x14ac:dyDescent="0.25">
      <c r="H7" t="s">
        <v>128</v>
      </c>
    </row>
    <row r="8" spans="1:8" x14ac:dyDescent="0.25">
      <c r="B8" s="1" t="s">
        <v>20</v>
      </c>
      <c r="H8" t="s">
        <v>212</v>
      </c>
    </row>
    <row r="9" spans="1:8" x14ac:dyDescent="0.25">
      <c r="B9" t="s">
        <v>209</v>
      </c>
      <c r="H9" t="s">
        <v>213</v>
      </c>
    </row>
    <row r="10" spans="1:8" x14ac:dyDescent="0.25">
      <c r="H10" t="s">
        <v>271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129</v>
      </c>
    </row>
    <row r="14" spans="1:8" x14ac:dyDescent="0.25">
      <c r="B14" s="1" t="s">
        <v>36</v>
      </c>
      <c r="H14" t="s">
        <v>214</v>
      </c>
    </row>
    <row r="15" spans="1:8" x14ac:dyDescent="0.25">
      <c r="B15" t="s">
        <v>35</v>
      </c>
      <c r="H15" t="s">
        <v>213</v>
      </c>
    </row>
    <row r="16" spans="1:8" x14ac:dyDescent="0.25">
      <c r="H16" t="s">
        <v>235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234</v>
      </c>
    </row>
    <row r="19" spans="2:8" x14ac:dyDescent="0.25">
      <c r="H19" t="s">
        <v>132</v>
      </c>
    </row>
    <row r="20" spans="2:8" x14ac:dyDescent="0.25">
      <c r="B20" s="1"/>
      <c r="H20" t="s">
        <v>222</v>
      </c>
    </row>
    <row r="21" spans="2:8" x14ac:dyDescent="0.25">
      <c r="H21" t="s">
        <v>213</v>
      </c>
    </row>
    <row r="22" spans="2:8" x14ac:dyDescent="0.25">
      <c r="H22" t="s">
        <v>236</v>
      </c>
    </row>
    <row r="23" spans="2:8" x14ac:dyDescent="0.25">
      <c r="H23" t="s">
        <v>31</v>
      </c>
    </row>
    <row r="25" spans="2:8" x14ac:dyDescent="0.25">
      <c r="H25" t="s">
        <v>29</v>
      </c>
    </row>
    <row r="26" spans="2:8" x14ac:dyDescent="0.25">
      <c r="H26" t="s">
        <v>122</v>
      </c>
    </row>
    <row r="27" spans="2:8" x14ac:dyDescent="0.25">
      <c r="H27" t="s">
        <v>39</v>
      </c>
    </row>
    <row r="29" spans="2:8" x14ac:dyDescent="0.25">
      <c r="H29" t="s">
        <v>30</v>
      </c>
    </row>
    <row r="30" spans="2:8" x14ac:dyDescent="0.25">
      <c r="H30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0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237</v>
      </c>
      <c r="I5" t="s">
        <v>237</v>
      </c>
    </row>
    <row r="6" spans="2:9" x14ac:dyDescent="0.25">
      <c r="B6" t="s">
        <v>208</v>
      </c>
      <c r="H6" t="s">
        <v>272</v>
      </c>
      <c r="I6" t="s">
        <v>272</v>
      </c>
    </row>
    <row r="7" spans="2:9" x14ac:dyDescent="0.25">
      <c r="H7" t="s">
        <v>238</v>
      </c>
      <c r="I7" t="s">
        <v>240</v>
      </c>
    </row>
    <row r="8" spans="2:9" x14ac:dyDescent="0.25">
      <c r="B8" s="1" t="s">
        <v>20</v>
      </c>
      <c r="H8" t="s">
        <v>239</v>
      </c>
      <c r="I8" t="s">
        <v>241</v>
      </c>
    </row>
    <row r="9" spans="2:9" x14ac:dyDescent="0.25">
      <c r="B9" t="s">
        <v>209</v>
      </c>
      <c r="H9" t="s">
        <v>240</v>
      </c>
      <c r="I9" s="11" t="s">
        <v>85</v>
      </c>
    </row>
    <row r="10" spans="2:9" x14ac:dyDescent="0.25">
      <c r="H10" t="s">
        <v>241</v>
      </c>
    </row>
    <row r="11" spans="2:9" x14ac:dyDescent="0.25">
      <c r="B11" s="1" t="s">
        <v>13</v>
      </c>
      <c r="H11" s="11" t="s">
        <v>85</v>
      </c>
    </row>
    <row r="12" spans="2:9" x14ac:dyDescent="0.25">
      <c r="B12" t="s">
        <v>15</v>
      </c>
    </row>
    <row r="14" spans="2:9" x14ac:dyDescent="0.25">
      <c r="B14" s="1" t="s">
        <v>36</v>
      </c>
    </row>
    <row r="15" spans="2:9" x14ac:dyDescent="0.25">
      <c r="B15" t="s">
        <v>35</v>
      </c>
    </row>
    <row r="17" spans="2:2" x14ac:dyDescent="0.25">
      <c r="B17" s="1" t="s">
        <v>21</v>
      </c>
    </row>
    <row r="18" spans="2:2" x14ac:dyDescent="0.25">
      <c r="B18" t="s">
        <v>234</v>
      </c>
    </row>
    <row r="20" spans="2:2" x14ac:dyDescent="0.25">
      <c r="B20" s="1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242</v>
      </c>
    </row>
    <row r="4" spans="2:8" x14ac:dyDescent="0.25">
      <c r="H4" t="s">
        <v>243</v>
      </c>
    </row>
    <row r="5" spans="2:8" x14ac:dyDescent="0.25">
      <c r="B5" s="1"/>
      <c r="H5" t="s">
        <v>244</v>
      </c>
    </row>
    <row r="6" spans="2:8" x14ac:dyDescent="0.25">
      <c r="H6" t="s">
        <v>245</v>
      </c>
    </row>
    <row r="7" spans="2:8" x14ac:dyDescent="0.25">
      <c r="H7" t="s">
        <v>247</v>
      </c>
    </row>
    <row r="8" spans="2:8" x14ac:dyDescent="0.25">
      <c r="B8" s="1"/>
    </row>
    <row r="9" spans="2:8" x14ac:dyDescent="0.25">
      <c r="H9" t="s">
        <v>248</v>
      </c>
    </row>
    <row r="10" spans="2:8" x14ac:dyDescent="0.25">
      <c r="H10" t="s">
        <v>249</v>
      </c>
    </row>
    <row r="11" spans="2:8" x14ac:dyDescent="0.25">
      <c r="B11" s="1"/>
      <c r="H11" t="s">
        <v>246</v>
      </c>
    </row>
    <row r="12" spans="2:8" x14ac:dyDescent="0.25">
      <c r="H12" t="s">
        <v>250</v>
      </c>
    </row>
    <row r="13" spans="2:8" x14ac:dyDescent="0.25">
      <c r="H13" t="s">
        <v>251</v>
      </c>
    </row>
    <row r="14" spans="2:8" x14ac:dyDescent="0.25">
      <c r="B14" s="1"/>
    </row>
    <row r="15" spans="2:8" x14ac:dyDescent="0.25">
      <c r="H15" t="s">
        <v>252</v>
      </c>
    </row>
    <row r="16" spans="2:8" x14ac:dyDescent="0.25">
      <c r="H16" t="s">
        <v>253</v>
      </c>
    </row>
    <row r="17" spans="2:8" x14ac:dyDescent="0.25">
      <c r="B17" s="1"/>
      <c r="H17" t="s">
        <v>254</v>
      </c>
    </row>
    <row r="18" spans="2:8" x14ac:dyDescent="0.25">
      <c r="H18" t="s">
        <v>255</v>
      </c>
    </row>
    <row r="20" spans="2:8" x14ac:dyDescent="0.25">
      <c r="B20" s="1"/>
      <c r="H20" t="s">
        <v>256</v>
      </c>
    </row>
    <row r="21" spans="2:8" x14ac:dyDescent="0.25">
      <c r="H21" t="s">
        <v>257</v>
      </c>
    </row>
    <row r="22" spans="2:8" x14ac:dyDescent="0.25">
      <c r="H22" t="s">
        <v>258</v>
      </c>
    </row>
    <row r="23" spans="2:8" x14ac:dyDescent="0.25">
      <c r="H23" t="s">
        <v>259</v>
      </c>
    </row>
    <row r="24" spans="2:8" x14ac:dyDescent="0.25">
      <c r="H24" t="s">
        <v>260</v>
      </c>
    </row>
    <row r="25" spans="2:8" x14ac:dyDescent="0.25">
      <c r="H25" t="s">
        <v>261</v>
      </c>
    </row>
    <row r="27" spans="2:8" x14ac:dyDescent="0.25">
      <c r="H27" t="s">
        <v>123</v>
      </c>
    </row>
    <row r="28" spans="2:8" x14ac:dyDescent="0.25">
      <c r="H28" t="s">
        <v>262</v>
      </c>
    </row>
    <row r="29" spans="2:8" x14ac:dyDescent="0.25">
      <c r="H29" t="s">
        <v>263</v>
      </c>
    </row>
    <row r="30" spans="2:8" x14ac:dyDescent="0.25">
      <c r="H30" t="s">
        <v>264</v>
      </c>
    </row>
    <row r="31" spans="2:8" x14ac:dyDescent="0.25">
      <c r="H31" t="s">
        <v>265</v>
      </c>
    </row>
    <row r="32" spans="2:8" x14ac:dyDescent="0.25">
      <c r="H32" t="s">
        <v>266</v>
      </c>
    </row>
    <row r="33" spans="8:8" x14ac:dyDescent="0.25">
      <c r="H33" t="s">
        <v>267</v>
      </c>
    </row>
    <row r="34" spans="8:8" x14ac:dyDescent="0.25">
      <c r="H34" s="11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2020-06-15T04:18:31Z</dcterms:modified>
</cp:coreProperties>
</file>